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F98E1BF-CD33-4A17-B466-DB831103C96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54" i="2" l="1"/>
  <c r="E154" i="2"/>
  <c r="E151" i="2"/>
  <c r="M147" i="2"/>
  <c r="H147" i="2"/>
  <c r="D147" i="2"/>
  <c r="H145" i="2"/>
  <c r="C145" i="2"/>
  <c r="E145" i="2"/>
  <c r="H142" i="2"/>
  <c r="E142" i="2"/>
  <c r="E133" i="2"/>
  <c r="L133" i="2"/>
  <c r="E130" i="2"/>
  <c r="M126" i="2"/>
  <c r="H126" i="2"/>
  <c r="D126" i="2"/>
  <c r="C124" i="2"/>
  <c r="H124" i="2"/>
  <c r="E124" i="2"/>
  <c r="H121" i="2"/>
  <c r="E121" i="2"/>
  <c r="L111" i="2"/>
  <c r="E111" i="2"/>
  <c r="E108" i="2"/>
  <c r="M104" i="2"/>
  <c r="H104" i="2"/>
  <c r="D104" i="2"/>
  <c r="H102" i="2"/>
  <c r="E102" i="2"/>
  <c r="C102" i="2"/>
  <c r="H99" i="2"/>
  <c r="E99" i="2"/>
  <c r="E89" i="2"/>
  <c r="L89" i="2"/>
  <c r="E86" i="2"/>
  <c r="M82" i="2"/>
  <c r="H82" i="2"/>
  <c r="D82" i="2"/>
  <c r="H80" i="2"/>
  <c r="E80" i="2"/>
  <c r="C80" i="2"/>
  <c r="H77" i="2"/>
  <c r="E77" i="2"/>
  <c r="E45" i="2"/>
  <c r="E22" i="2"/>
  <c r="E68" i="2"/>
  <c r="L68" i="2"/>
  <c r="E65" i="2"/>
  <c r="M61" i="2"/>
  <c r="H61" i="2"/>
  <c r="D61" i="2"/>
  <c r="H59" i="2"/>
  <c r="E59" i="2"/>
  <c r="C59" i="2"/>
  <c r="H56" i="2"/>
  <c r="E56" i="2"/>
  <c r="L22" i="2"/>
  <c r="L45" i="2"/>
  <c r="E42" i="2"/>
  <c r="H36" i="2"/>
  <c r="H33" i="2"/>
  <c r="E36" i="2"/>
  <c r="E33" i="2"/>
  <c r="C36" i="2"/>
  <c r="D38" i="2"/>
  <c r="H38" i="2"/>
  <c r="M38" i="2"/>
  <c r="M15" i="2"/>
  <c r="E19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<sst xmlns="http://schemas.openxmlformats.org/spreadsheetml/2006/main" count="205" uniqueCount="94">
  <si>
    <t>Matriz de Marco de Trabajo de HU</t>
  </si>
  <si>
    <t>ITEM</t>
  </si>
  <si>
    <t>PROBLEMA</t>
  </si>
  <si>
    <t>QUE 
(NECESIDAD)</t>
  </si>
  <si>
    <t>PARA QUE 
(SOLUCIÓN)</t>
  </si>
  <si>
    <t>COMO
 (DESCRIPCIÓN DE TAREAS)</t>
  </si>
  <si>
    <t>FECHA DE ENTREGA</t>
  </si>
  <si>
    <t>PRIORIDAD</t>
  </si>
  <si>
    <t>STATUS</t>
  </si>
  <si>
    <t>PRUEBA 
(COMO SE VERIFICA)</t>
  </si>
  <si>
    <t>COMENTARIOS</t>
  </si>
  <si>
    <t>REQ001</t>
  </si>
  <si>
    <t>Alta</t>
  </si>
  <si>
    <t>Terminado</t>
  </si>
  <si>
    <t>En proceso</t>
  </si>
  <si>
    <t xml:space="preserve">Media </t>
  </si>
  <si>
    <t>.</t>
  </si>
  <si>
    <t>No iniciado</t>
  </si>
  <si>
    <t>Baja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</si>
  <si>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</si>
  <si>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</si>
  <si>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</si>
  <si>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</si>
  <si>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</si>
  <si>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</si>
  <si>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</si>
  <si>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</si>
  <si>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</si>
  <si>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</si>
  <si>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Iniciar sesión en el sistema de manera segura.</t>
  </si>
  <si>
    <t>El sistema deberá contar con una pantalla de inicio de sesión donde el usuario ingrese sus credenciales para acceder.</t>
  </si>
  <si>
    <t>Para garantizar que solo los usuarios autorizados puedan acceder a las funcionalidades según su rol.</t>
  </si>
  <si>
    <t>Usuario</t>
  </si>
  <si>
    <t>Steven Egas</t>
  </si>
  <si>
    <t>Finalizado</t>
  </si>
  <si>
    <t>El usuario ingresa credenciales válidas y accede al sistema. Con credenciales incorrectas se muestra mensaje de error. Tras 3 intentos fallidos se bloquea el acceso por 5 minutos.</t>
  </si>
  <si>
    <t>REQ002</t>
  </si>
  <si>
    <t>Registrar una nueva cuenta de transportista en el sistema.</t>
  </si>
  <si>
    <t>El sistema deberá permitir que un transportista cree su cuenta proporcionando datos personales y de contacto.</t>
  </si>
  <si>
    <t>Para que el transportista pueda acceder a los servicios y funcionalidades de la plataforma.</t>
  </si>
  <si>
    <t>Transportista</t>
  </si>
  <si>
    <t>Alejandro Obando</t>
  </si>
  <si>
    <t>El transportista completa el formulario con datos válidos y el sistema registra la cuenta exitosamente. Si el correo ya existe, se muestra mensaje de error. Se envía notificación de registro exitoso.</t>
  </si>
  <si>
    <t>REQ003</t>
  </si>
  <si>
    <t>Recuperar el acceso a la cuenta cuando el usuario olvida su contraseña.</t>
  </si>
  <si>
    <t>El sistema deberá ofrecer un mecanismo para restablecer la contraseña mediante el correo registrado.</t>
  </si>
  <si>
    <t>Para que el usuario pueda recuperar el acceso a su cuenta de forma segura y autónoma.</t>
  </si>
  <si>
    <t>Juan Quimbiulco</t>
  </si>
  <si>
    <t>El usuario ingresa su correo registrado, recibe un enlace de restablecimiento, accede al formulario y crea una nueva contraseña cumpliendo los requisitos de complejidad. El sistema confirma el cambio.</t>
  </si>
  <si>
    <t>REQ004</t>
  </si>
  <si>
    <t>Administrar la información y documentación de los transportistas del sistema.</t>
  </si>
  <si>
    <t>El sistema deberá permitir crear, editar, eliminar y consultar transportistas, así como gestionar su documentación habilitante.</t>
  </si>
  <si>
    <t>Para mantener actualizados los datos y documentación de los transportistas disponibles en la plataforma.</t>
  </si>
  <si>
    <t>Coordinador</t>
  </si>
  <si>
    <t>El coordinador puede registrar, editar y desactivar transportistas. La documentación se carga y valida correctamente. La búsqueda y filtrado retornan resultados precisos.</t>
  </si>
  <si>
    <t>REQ005</t>
  </si>
  <si>
    <t>Gestionar los viajes registrados en el sistema de transporte.</t>
  </si>
  <si>
    <t>El sistema deberá permitir crear, consultar, cancelar y reprogramar viajes, incluyendo asignación de transportistas y rutas.</t>
  </si>
  <si>
    <t>Para controlar de manera eficiente las operaciones de transporte desde su registro hasta su ejecución.</t>
  </si>
  <si>
    <t>Secretaria</t>
  </si>
  <si>
    <t>La secretaria puede registrar un viaje completo, consultarlo con filtros, cancelarlo y reprogramarlo. El sistema valida los datos antes de guardar y muestra mensajes de confirmación.</t>
  </si>
  <si>
    <t>REQ006</t>
  </si>
  <si>
    <t>Supervisar el estado y progreso de los viajes en ejecución en tiempo real.</t>
  </si>
  <si>
    <t>El sistema deberá ofrecer una pantalla de monitoreo donde se visualice la ubicación, estado y eventos de cada viaje activo.</t>
  </si>
  <si>
    <t>Para que el coordinador conozca el progreso de cada viaje y pueda actuar ante incidencias de forma oportuna.</t>
  </si>
  <si>
    <t>El coordinador visualiza los viajes activos con su estado e historial. Las incidencias se registran y generan notificaciones. La información se actualiza correctamente.</t>
  </si>
  <si>
    <t>REQ007</t>
  </si>
  <si>
    <t>Generar reportes del sistema y planificar las rutas de los viajes.</t>
  </si>
  <si>
    <t>El sistema deberá permitir generar, consultar y exportar reportes por fechas y tipo, así como crear, asignar y modificar rutas para los viajes.</t>
  </si>
  <si>
    <t>Para optimizar la toma de decisiones gerenciales y la operación logística del sistema de transporte.</t>
  </si>
  <si>
    <t>Gerente / Coordinador</t>
  </si>
  <si>
    <t>Media</t>
  </si>
  <si>
    <t>El gerente/coordinador genera reportes con los filtros indicados y los exporta en PDF y Excel correctamente. Las rutas se crean, asignan y modifican sin errores.</t>
  </si>
  <si>
    <t>REQ001-1: Maqueteo de la pantalla de inicio de sesión. (Steven Egas) – 1 hr
REQ001-2: Diseño del formulario de autenticación. (Alejandro Obando) – 2 hrs
REQ001-3: Implementación de validación de usuario y contraseña. (Juan Quimbiulco) – 2 hrs
REQ001-4: Desarrollo de mensajes de error para credenciales incorrectas. (Steven Egas) – 1 hr
REQ001-5: Implementación de control de intentos fallidos. (Alejandro Obando) – 2 hrs
REQ001-6: Desarrollo de cierre de sesión seguro. (Juan Quimbiulco) – 1 hr</t>
  </si>
  <si>
    <t>REQ002-1: Diseño de interfaz para registro de usuarios. (Alejandro Obando) – 1 hr
REQ002-2: Creación del formulario de registro. (Steven Egas) – 2 hrs
REQ002-3: Validación de campos obligatorios. (Juan Quimbiulco) – 2 hrs
REQ002-4: Verificación de correo electrónico único. (Alejandro Obando) – 2 hrs
REQ002-5: Implementación de almacenamiento de usuarios. (Steven Egas) – 2 hrs
REQ002-6: Notificación de registro exitoso. (Juan Quimbiulco) – 1 hr</t>
  </si>
  <si>
    <t>REQ003-1: Creación del enlace de recuperación de contraseña. (Juan Quimbiulco) – 1 hr
REQ003-2: Diseño del formulario de recuperación. (Steven Egas) – 2 hrs
REQ003-3: Validación de correo registrado. (Alejandro Obando) – 2 hrs
REQ003-4: Generación de enlace de restablecimiento. (Juan Quimbiulco) – 2 hrs
REQ003-5: Implementación de nueva contraseña. (Steven Egas) – 2 hrs
REQ003-6: Validación de complejidad de contraseña. (Alejandro Obando) – 1 hr</t>
  </si>
  <si>
    <t>REQ004-1: Maqueteo de interfaz para gestión de transportistas. (Alejandro Obando) – 1 hr
REQ004-2: Desarrollo del formulario de registro. (Steven Egas) – 2 hrs
REQ004-3: Implementación de edición de información. (Juan Quimbiulco) – 2 hrs
REQ004-4: Implementación de eliminación lógica. (Alejandro Obando) – 2 hrs
REQ004-5: Carga de documentación habilitante. (Steven Egas) – 2 hrs
REQ004-6: Consulta y filtrado de transportistas. (Juan Quimbiulco) – 2 hrs</t>
  </si>
  <si>
    <t>REQ005-1: Diseño de interfaz de gestión de viajes. (Steven Egas) – 1 hr
REQ005-2: Creación de formularios de viaje. (Alejandro Obando) – 2 hrs
REQ005-3: Registro de origen y destino. (Juan Quimbiulco) – 2 hrs
REQ005-4: Consulta y búsqueda de viajes. (Steven Egas) – 2 hrs
REQ005-5: Cancelación de viajes. (Alejandro Obando) – 2 hrs
REQ005-6: Reprogramación de viajes. (Juan Quimbiulco) – 2 hrs</t>
  </si>
  <si>
    <t>REQ006-1: Diseño de pantalla de monitoreo. (Juan Quimbiulco) – 1 hr
REQ006-2: Visualización de viajes activos. (Steven Egas) – 2 hrs
REQ006-3: Consulta de estados de viaje. (Alejandro Obando) – 2 hrs
REQ006-4: Registro de incidencias. (Juan Quimbiulco) – 2 hrs
REQ006-5: Notificaciones de eventos importantes. (Steven Egas) – 2 hrs
REQ006-6: Historial de seguimiento de viajes. (Alejandro Obando) – 2 hrs</t>
  </si>
  <si>
    <t>REQ007-1: Diseño de interfaz para generación de reportes. (Steven Egas) – 1 hr
REQ007-2: Generación de reportes por fechas y estado. (Alejandro Obando) – 2 hrs
REQ007-3: Exportación de reportes a PDF. (Juan Quimbiulco) – 2 hrs
REQ007-4: Exportación de reportes a Excel. (Steven Egas) – 2 hrs
REQ007-5: Creación de rutas para viajes. (Alejandro Obando) – 2 hrs
REQ007-6: Asignación de rutas a viajes registrados. (Juan Quimbiulco) – 2 hrs
REQ007-7: Modificación y replanificación de rutas. (Steven Egas) – 2 hrs</t>
  </si>
  <si>
    <t>PARA QUIEN 
(USUARIO)</t>
  </si>
  <si>
    <t>HECHO POR 
(PROG. RESP.)</t>
  </si>
  <si>
    <t>CUANTO TIEMPO 
(ESTIMADO EN HRS)</t>
  </si>
  <si>
    <t>NOMBRE DE HISTORIA</t>
  </si>
  <si>
    <t>2026-06-15</t>
  </si>
  <si>
    <t>Iniciar Sesión</t>
  </si>
  <si>
    <t>Crear Cuenta</t>
  </si>
  <si>
    <t>Recuperar Contraseña</t>
  </si>
  <si>
    <t>2026-06-22</t>
  </si>
  <si>
    <t>Gestionar Transportistas</t>
  </si>
  <si>
    <t>Gestionar Viajes</t>
  </si>
  <si>
    <t>2026-06-29</t>
  </si>
  <si>
    <t>Monitorear Viajes</t>
  </si>
  <si>
    <t>Reportes y Planificación de Rutas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</si>
</sst>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22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sz val="10"/>
      <color theme="1"/>
      <name val="Arial Narrow"/>
    </font>
    <font>
      <sz val="11"/>
      <color theme="1"/>
      <name val="Arial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b/>
      <sz val="11"/>
      <color rgb="FFFFFFFF"/>
      <name val="Calibri"/>
    </font>
    <font>
      <b/>
      <sz val="11"/>
      <color rgb="FF9C6500"/>
      <name val="Calibri"/>
    </font>
    <font>
      <b/>
      <sz val="11"/>
      <color rgb="FF1F3864"/>
      <name val="Calibri"/>
    </font>
    <font>
      <sz val="11"/>
      <color rgb="FF000000"/>
      <name val="Calibri"/>
    </font>
    <font>
      <b/>
      <sz val="11"/>
      <color rgb="FFC00000"/>
      <name val="Calibri"/>
    </font>
    <font>
      <b/>
      <sz val="11"/>
      <color rgb="FF000000"/>
      <name val="Calibri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rgb="FFDEEAF1"/>
        <bgColor rgb="FFDEEAF1"/>
      </patternFill>
    </fill>
    <fill>
      <patternFill patternType="solid">
        <fgColor rgb="FFFFE0E0"/>
        <bgColor rgb="FFFFE0E0"/>
      </patternFill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5"/>
  </cellStyleXfs>
  <cellXfs count="8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5" xfId="0" applyFont="1" applyFill="1" applyBorder="1"/>
    <xf numFmtId="0" fontId="2" fillId="4" borderId="5" xfId="0" applyFont="1" applyFill="1" applyBorder="1"/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3" borderId="5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6" fillId="0" borderId="0" xfId="0" applyFont="1"/>
    <xf numFmtId="0" fontId="8" fillId="0" borderId="0" xfId="0" applyFont="1" applyAlignment="1">
      <alignment horizontal="center" vertical="center" wrapText="1"/>
    </xf>
    <xf numFmtId="0" fontId="6" fillId="5" borderId="6" xfId="0" applyFont="1" applyFill="1" applyBorder="1"/>
    <xf numFmtId="0" fontId="8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/>
    <xf numFmtId="0" fontId="6" fillId="5" borderId="7" xfId="0" applyFont="1" applyFill="1" applyBorder="1"/>
    <xf numFmtId="0" fontId="6" fillId="5" borderId="8" xfId="0" applyFont="1" applyFill="1" applyBorder="1"/>
    <xf numFmtId="0" fontId="6" fillId="5" borderId="9" xfId="0" applyFont="1" applyFill="1" applyBorder="1"/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6" fillId="5" borderId="5" xfId="0" applyFont="1" applyFill="1" applyBorder="1"/>
    <xf numFmtId="0" fontId="6" fillId="5" borderId="10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28" xfId="0" applyFont="1" applyFill="1" applyBorder="1"/>
    <xf numFmtId="0" fontId="6" fillId="5" borderId="29" xfId="0" applyFont="1" applyFill="1" applyBorder="1"/>
    <xf numFmtId="0" fontId="6" fillId="5" borderId="30" xfId="0" applyFont="1" applyFill="1" applyBorder="1"/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5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9" xfId="0" applyFont="1" applyBorder="1"/>
    <xf numFmtId="0" fontId="4" fillId="0" borderId="20" xfId="0" applyFont="1" applyBorder="1"/>
    <xf numFmtId="0" fontId="11" fillId="7" borderId="11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4" fillId="0" borderId="14" xfId="0" applyFont="1" applyBorder="1"/>
    <xf numFmtId="0" fontId="4" fillId="0" borderId="21" xfId="0" applyFont="1" applyBorder="1"/>
    <xf numFmtId="0" fontId="9" fillId="3" borderId="12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center" vertical="center"/>
    </xf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14" fillId="8" borderId="12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6" fillId="2" borderId="4" xfId="1" applyFont="1" applyFill="1" applyBorder="1" applyAlignment="1">
      <alignment horizontal="center" vertical="center" wrapText="1"/>
    </xf>
    <xf numFmtId="0" fontId="17" fillId="9" borderId="4" xfId="1" applyFont="1" applyFill="1" applyBorder="1" applyAlignment="1">
      <alignment horizontal="center" vertical="top" wrapText="1"/>
    </xf>
    <xf numFmtId="0" fontId="18" fillId="0" borderId="4" xfId="1" applyFont="1" applyBorder="1" applyAlignment="1">
      <alignment horizontal="left" vertical="top" wrapText="1"/>
    </xf>
    <xf numFmtId="0" fontId="18" fillId="0" borderId="4" xfId="1" applyFont="1" applyBorder="1" applyAlignment="1">
      <alignment horizontal="center" vertical="top" wrapText="1"/>
    </xf>
    <xf numFmtId="0" fontId="19" fillId="10" borderId="4" xfId="1" applyFont="1" applyFill="1" applyBorder="1" applyAlignment="1">
      <alignment horizontal="center" vertical="top" wrapText="1"/>
    </xf>
    <xf numFmtId="0" fontId="15" fillId="11" borderId="4" xfId="1" applyFont="1" applyFill="1" applyBorder="1" applyAlignment="1">
      <alignment horizontal="center" vertical="top" wrapText="1"/>
    </xf>
    <xf numFmtId="0" fontId="20" fillId="0" borderId="4" xfId="1" applyFont="1" applyBorder="1" applyAlignment="1">
      <alignment horizontal="center" vertical="top" wrapText="1"/>
    </xf>
    <xf numFmtId="0" fontId="16" fillId="12" borderId="4" xfId="1" applyFont="1" applyFill="1" applyBorder="1" applyAlignment="1">
      <alignment horizontal="center" vertical="top" wrapText="1"/>
    </xf>
    <xf numFmtId="0" fontId="21" fillId="3" borderId="12" xfId="0" applyNumberFormat="1" applyFont="1" applyFill="1" applyBorder="1" applyAlignment="1">
      <alignment horizontal="left" vertical="center" wrapText="1"/>
    </xf>
    <xf numFmtId="0" fontId="4" fillId="0" borderId="14" xfId="0" applyNumberFormat="1" applyFont="1" applyBorder="1"/>
    <xf numFmtId="0" fontId="4" fillId="0" borderId="13" xfId="0" applyNumberFormat="1" applyFont="1" applyBorder="1"/>
    <xf numFmtId="0" fontId="4" fillId="0" borderId="16" xfId="0" applyNumberFormat="1" applyFont="1" applyBorder="1"/>
    <xf numFmtId="0" fontId="0" fillId="0" borderId="0" xfId="0" applyNumberFormat="1"/>
    <xf numFmtId="0" fontId="4" fillId="0" borderId="17" xfId="0" applyNumberFormat="1" applyFont="1" applyBorder="1"/>
    <xf numFmtId="0" fontId="4" fillId="0" borderId="19" xfId="0" applyNumberFormat="1" applyFont="1" applyBorder="1"/>
    <xf numFmtId="0" fontId="4" fillId="0" borderId="21" xfId="0" applyNumberFormat="1" applyFont="1" applyBorder="1"/>
    <xf numFmtId="0" fontId="4" fillId="0" borderId="20" xfId="0" applyNumberFormat="1" applyFont="1" applyBorder="1"/>
  </cellXfs>
  <cellStyles count="2">
    <cellStyle name="Normal" xfId="0" builtinId="0"/>
    <cellStyle name="Normal 2" xfId="1" xr:uid="{FCBA977A-A23C-4089-858F-354F53D06BA7}"/>
  </cellStyles>
  <dxfs count="28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552450</xdr:colOff>
      <xdr:row>31</xdr:row>
      <xdr:rowOff>266700</xdr:rowOff>
    </xdr:from>
    <xdr:ext cx="1066800" cy="1162050"/>
    <xdr:pic>
      <xdr:nvPicPr>
        <xdr:cNvPr id="4" name="image1.jpg">
          <a:extLst>
            <a:ext uri="{FF2B5EF4-FFF2-40B4-BE49-F238E27FC236}">
              <a16:creationId xmlns:a16="http://schemas.microsoft.com/office/drawing/2014/main" id="{1F6CA9DF-80B6-4323-AC3F-E18DCB7C2B4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375106" y="1195388"/>
          <a:ext cx="10668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31</xdr:row>
      <xdr:rowOff>266700</xdr:rowOff>
    </xdr:from>
    <xdr:ext cx="1095375" cy="1162050"/>
    <xdr:pic>
      <xdr:nvPicPr>
        <xdr:cNvPr id="5" name="image2.jpg">
          <a:extLst>
            <a:ext uri="{FF2B5EF4-FFF2-40B4-BE49-F238E27FC236}">
              <a16:creationId xmlns:a16="http://schemas.microsoft.com/office/drawing/2014/main" id="{4CC7ED67-5DCE-41D4-A3AA-B6F450DF2031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22481" y="1195388"/>
          <a:ext cx="1095375" cy="11620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548640</xdr:colOff>
      <xdr:row>31</xdr:row>
      <xdr:rowOff>266700</xdr:rowOff>
    </xdr:from>
    <xdr:to>
      <xdr:col>15</xdr:col>
      <xdr:colOff>0</xdr:colOff>
      <xdr:row>36</xdr:row>
      <xdr:rowOff>205740</xdr:rowOff>
    </xdr:to>
    <xdr:pic>
      <xdr:nvPicPr>
        <xdr:cNvPr id="6" name="image1.jpg">
          <a:extLst>
            <a:ext uri="{FF2B5EF4-FFF2-40B4-BE49-F238E27FC236}">
              <a16:creationId xmlns:a16="http://schemas.microsoft.com/office/drawing/2014/main" id="{C95BD74A-3818-4BDD-84E7-7806701DC5E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47960" y="6751320"/>
          <a:ext cx="106680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13</xdr:col>
      <xdr:colOff>579120</xdr:colOff>
      <xdr:row>31</xdr:row>
      <xdr:rowOff>259080</xdr:rowOff>
    </xdr:from>
    <xdr:to>
      <xdr:col>15</xdr:col>
      <xdr:colOff>38100</xdr:colOff>
      <xdr:row>36</xdr:row>
      <xdr:rowOff>205740</xdr:rowOff>
    </xdr:to>
    <xdr:pic>
      <xdr:nvPicPr>
        <xdr:cNvPr id="7" name="image1.jpg">
          <a:extLst>
            <a:ext uri="{FF2B5EF4-FFF2-40B4-BE49-F238E27FC236}">
              <a16:creationId xmlns:a16="http://schemas.microsoft.com/office/drawing/2014/main" id="{ED21F87C-E6F3-420C-B458-7065E1FE1E7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8440" y="6751320"/>
          <a:ext cx="107442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10</xdr:col>
      <xdr:colOff>692317</xdr:colOff>
      <xdr:row>53</xdr:row>
      <xdr:rowOff>69783</xdr:rowOff>
    </xdr:from>
    <xdr:ext cx="1095375" cy="1162050"/>
    <xdr:pic>
      <xdr:nvPicPr>
        <xdr:cNvPr id="9" name="image2.jpg">
          <a:extLst>
            <a:ext uri="{FF2B5EF4-FFF2-40B4-BE49-F238E27FC236}">
              <a16:creationId xmlns:a16="http://schemas.microsoft.com/office/drawing/2014/main" id="{30DC38EC-D221-40A6-BC11-0E66615A44F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087728" y="11796562"/>
          <a:ext cx="1095375" cy="11620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186088</xdr:colOff>
      <xdr:row>53</xdr:row>
      <xdr:rowOff>93846</xdr:rowOff>
    </xdr:from>
    <xdr:to>
      <xdr:col>14</xdr:col>
      <xdr:colOff>455194</xdr:colOff>
      <xdr:row>59</xdr:row>
      <xdr:rowOff>40506</xdr:rowOff>
    </xdr:to>
    <xdr:pic>
      <xdr:nvPicPr>
        <xdr:cNvPr id="11" name="image1.jpg">
          <a:extLst>
            <a:ext uri="{FF2B5EF4-FFF2-40B4-BE49-F238E27FC236}">
              <a16:creationId xmlns:a16="http://schemas.microsoft.com/office/drawing/2014/main" id="{A4830CE7-A436-4391-89F6-71C86F3A9B9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1877" y="11820625"/>
          <a:ext cx="1079233" cy="114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11</xdr:col>
      <xdr:colOff>259181</xdr:colOff>
      <xdr:row>74</xdr:row>
      <xdr:rowOff>125930</xdr:rowOff>
    </xdr:from>
    <xdr:ext cx="1095375" cy="1162050"/>
    <xdr:pic>
      <xdr:nvPicPr>
        <xdr:cNvPr id="13" name="image2.jpg">
          <a:extLst>
            <a:ext uri="{FF2B5EF4-FFF2-40B4-BE49-F238E27FC236}">
              <a16:creationId xmlns:a16="http://schemas.microsoft.com/office/drawing/2014/main" id="{17548074-7986-4422-A9F5-1B596CC514F3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464718" y="16127930"/>
          <a:ext cx="1095375" cy="11620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410678</xdr:colOff>
      <xdr:row>74</xdr:row>
      <xdr:rowOff>198119</xdr:rowOff>
    </xdr:from>
    <xdr:to>
      <xdr:col>14</xdr:col>
      <xdr:colOff>679784</xdr:colOff>
      <xdr:row>80</xdr:row>
      <xdr:rowOff>144779</xdr:rowOff>
    </xdr:to>
    <xdr:pic>
      <xdr:nvPicPr>
        <xdr:cNvPr id="16" name="image1.jpg">
          <a:extLst>
            <a:ext uri="{FF2B5EF4-FFF2-40B4-BE49-F238E27FC236}">
              <a16:creationId xmlns:a16="http://schemas.microsoft.com/office/drawing/2014/main" id="{31AB360C-5534-4E0F-B5BD-F73A73C21FD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6467" y="16200119"/>
          <a:ext cx="1079233" cy="114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11</xdr:col>
      <xdr:colOff>82717</xdr:colOff>
      <xdr:row>96</xdr:row>
      <xdr:rowOff>109888</xdr:rowOff>
    </xdr:from>
    <xdr:ext cx="1095375" cy="1162050"/>
    <xdr:pic>
      <xdr:nvPicPr>
        <xdr:cNvPr id="18" name="image2.jpg">
          <a:extLst>
            <a:ext uri="{FF2B5EF4-FFF2-40B4-BE49-F238E27FC236}">
              <a16:creationId xmlns:a16="http://schemas.microsoft.com/office/drawing/2014/main" id="{FBFFBA3E-0FB3-42BC-91E7-5843827800D2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288254" y="20499404"/>
          <a:ext cx="1095375" cy="11620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306404</xdr:colOff>
      <xdr:row>96</xdr:row>
      <xdr:rowOff>133951</xdr:rowOff>
    </xdr:from>
    <xdr:to>
      <xdr:col>14</xdr:col>
      <xdr:colOff>575510</xdr:colOff>
      <xdr:row>102</xdr:row>
      <xdr:rowOff>80611</xdr:rowOff>
    </xdr:to>
    <xdr:pic>
      <xdr:nvPicPr>
        <xdr:cNvPr id="21" name="image1.jpg">
          <a:extLst>
            <a:ext uri="{FF2B5EF4-FFF2-40B4-BE49-F238E27FC236}">
              <a16:creationId xmlns:a16="http://schemas.microsoft.com/office/drawing/2014/main" id="{1DCAB268-AF80-439D-B662-7C308D60956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2193" y="20523467"/>
          <a:ext cx="1079233" cy="114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11</xdr:col>
      <xdr:colOff>106780</xdr:colOff>
      <xdr:row>118</xdr:row>
      <xdr:rowOff>85825</xdr:rowOff>
    </xdr:from>
    <xdr:ext cx="1095375" cy="1162050"/>
    <xdr:pic>
      <xdr:nvPicPr>
        <xdr:cNvPr id="23" name="image2.jpg">
          <a:extLst>
            <a:ext uri="{FF2B5EF4-FFF2-40B4-BE49-F238E27FC236}">
              <a16:creationId xmlns:a16="http://schemas.microsoft.com/office/drawing/2014/main" id="{420B303D-B794-4FBC-A429-4FEBC0B20A3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312317" y="24886920"/>
          <a:ext cx="1095375" cy="11620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306404</xdr:colOff>
      <xdr:row>118</xdr:row>
      <xdr:rowOff>133952</xdr:rowOff>
    </xdr:from>
    <xdr:to>
      <xdr:col>14</xdr:col>
      <xdr:colOff>575510</xdr:colOff>
      <xdr:row>124</xdr:row>
      <xdr:rowOff>80612</xdr:rowOff>
    </xdr:to>
    <xdr:pic>
      <xdr:nvPicPr>
        <xdr:cNvPr id="26" name="image1.jpg">
          <a:extLst>
            <a:ext uri="{FF2B5EF4-FFF2-40B4-BE49-F238E27FC236}">
              <a16:creationId xmlns:a16="http://schemas.microsoft.com/office/drawing/2014/main" id="{6EEF64EB-BE57-4506-BAEE-F0C2BE389BB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2193" y="24935047"/>
          <a:ext cx="1079233" cy="114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oneCellAnchor>
    <xdr:from>
      <xdr:col>10</xdr:col>
      <xdr:colOff>796590</xdr:colOff>
      <xdr:row>139</xdr:row>
      <xdr:rowOff>133953</xdr:rowOff>
    </xdr:from>
    <xdr:ext cx="1095375" cy="1162050"/>
    <xdr:pic>
      <xdr:nvPicPr>
        <xdr:cNvPr id="28" name="image2.jpg">
          <a:extLst>
            <a:ext uri="{FF2B5EF4-FFF2-40B4-BE49-F238E27FC236}">
              <a16:creationId xmlns:a16="http://schemas.microsoft.com/office/drawing/2014/main" id="{3D80FEC0-1949-4216-9BEF-8B70803EFF1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192001" y="29146100"/>
          <a:ext cx="1095375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306404</xdr:colOff>
      <xdr:row>139</xdr:row>
      <xdr:rowOff>166036</xdr:rowOff>
    </xdr:from>
    <xdr:ext cx="1079233" cy="1149818"/>
    <xdr:pic>
      <xdr:nvPicPr>
        <xdr:cNvPr id="31" name="image1.jpg">
          <a:extLst>
            <a:ext uri="{FF2B5EF4-FFF2-40B4-BE49-F238E27FC236}">
              <a16:creationId xmlns:a16="http://schemas.microsoft.com/office/drawing/2014/main" id="{96883B68-2FF2-4853-BBE3-A5C3E537250D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2193" y="29178183"/>
          <a:ext cx="1079233" cy="1149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opLeftCell="A6" zoomScale="95" zoomScaleNormal="95" workbookViewId="0">
      <selection activeCell="F9" sqref="F9"/>
    </sheetView>
  </sheetViews>
  <sheetFormatPr baseColWidth="10" defaultColWidth="12.59765625" defaultRowHeight="15" customHeight="1" x14ac:dyDescent="0.25"/>
  <cols>
    <col min="1" max="1" width="4.59765625" customWidth="1"/>
    <col min="2" max="2" width="6.59765625" customWidth="1"/>
    <col min="3" max="3" width="25.19921875" customWidth="1"/>
    <col min="4" max="4" width="31.09765625" customWidth="1"/>
    <col min="5" max="5" width="20.59765625" customWidth="1"/>
    <col min="6" max="6" width="13.09765625" customWidth="1"/>
    <col min="7" max="7" width="39.69921875" customWidth="1"/>
    <col min="8" max="12" width="10.59765625" customWidth="1"/>
    <col min="13" max="13" width="32.69921875" customWidth="1"/>
    <col min="14" max="15" width="20.59765625" customWidth="1"/>
    <col min="16" max="26" width="9.3984375" customWidth="1"/>
  </cols>
  <sheetData>
    <row r="1" spans="1:26" ht="13.8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8" x14ac:dyDescent="0.2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5">
      <c r="A3" s="1"/>
      <c r="B3" s="41" t="s">
        <v>0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8" x14ac:dyDescent="0.2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25">
      <c r="A5" s="1"/>
      <c r="B5" s="72" t="s">
        <v>1</v>
      </c>
      <c r="C5" s="72" t="s">
        <v>2</v>
      </c>
      <c r="D5" s="72" t="s">
        <v>3</v>
      </c>
      <c r="E5" s="72" t="s">
        <v>4</v>
      </c>
      <c r="F5" s="72" t="s">
        <v>80</v>
      </c>
      <c r="G5" s="72" t="s">
        <v>5</v>
      </c>
      <c r="H5" s="72" t="s">
        <v>81</v>
      </c>
      <c r="I5" s="72" t="s">
        <v>82</v>
      </c>
      <c r="J5" s="72" t="s">
        <v>6</v>
      </c>
      <c r="K5" s="72" t="s">
        <v>7</v>
      </c>
      <c r="L5" s="72" t="s">
        <v>8</v>
      </c>
      <c r="M5" s="72" t="s">
        <v>9</v>
      </c>
      <c r="N5" s="72" t="s">
        <v>10</v>
      </c>
      <c r="O5" s="72" t="s">
        <v>83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customHeight="1" x14ac:dyDescent="0.25">
      <c r="A6" s="4"/>
      <c r="B6" s="73" t="s">
        <v>11</v>
      </c>
      <c r="C6" s="74" t="s">
        <v>29</v>
      </c>
      <c r="D6" s="74" t="s">
        <v>30</v>
      </c>
      <c r="E6" s="74" t="s">
        <v>31</v>
      </c>
      <c r="F6" s="75" t="s">
        <v>32</v>
      </c>
      <c r="G6" s="74" t="s">
        <v>73</v>
      </c>
      <c r="H6" s="75" t="s">
        <v>33</v>
      </c>
      <c r="I6" s="75">
        <v>9</v>
      </c>
      <c r="J6" s="75" t="s">
        <v>84</v>
      </c>
      <c r="K6" s="76" t="s">
        <v>12</v>
      </c>
      <c r="L6" s="77" t="s">
        <v>34</v>
      </c>
      <c r="M6" s="74" t="s">
        <v>35</v>
      </c>
      <c r="N6" s="74"/>
      <c r="O6" s="78" t="s">
        <v>85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64.5" customHeight="1" x14ac:dyDescent="0.25">
      <c r="A7" s="4"/>
      <c r="B7" s="73" t="s">
        <v>36</v>
      </c>
      <c r="C7" s="74" t="s">
        <v>37</v>
      </c>
      <c r="D7" s="74" t="s">
        <v>38</v>
      </c>
      <c r="E7" s="74" t="s">
        <v>39</v>
      </c>
      <c r="F7" s="75" t="s">
        <v>40</v>
      </c>
      <c r="G7" s="74" t="s">
        <v>74</v>
      </c>
      <c r="H7" s="75" t="s">
        <v>41</v>
      </c>
      <c r="I7" s="75">
        <v>10</v>
      </c>
      <c r="J7" s="75" t="s">
        <v>84</v>
      </c>
      <c r="K7" s="76" t="s">
        <v>12</v>
      </c>
      <c r="L7" s="77" t="s">
        <v>34</v>
      </c>
      <c r="M7" s="74" t="s">
        <v>42</v>
      </c>
      <c r="N7" s="74"/>
      <c r="O7" s="78" t="s">
        <v>86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1.5" customHeight="1" x14ac:dyDescent="0.25">
      <c r="A8" s="4"/>
      <c r="B8" s="73" t="s">
        <v>43</v>
      </c>
      <c r="C8" s="74" t="s">
        <v>44</v>
      </c>
      <c r="D8" s="74" t="s">
        <v>45</v>
      </c>
      <c r="E8" s="74" t="s">
        <v>46</v>
      </c>
      <c r="F8" s="75" t="s">
        <v>32</v>
      </c>
      <c r="G8" s="74" t="s">
        <v>75</v>
      </c>
      <c r="H8" s="75" t="s">
        <v>47</v>
      </c>
      <c r="I8" s="75">
        <v>10</v>
      </c>
      <c r="J8" s="75" t="s">
        <v>84</v>
      </c>
      <c r="K8" s="76" t="s">
        <v>12</v>
      </c>
      <c r="L8" s="77" t="s">
        <v>34</v>
      </c>
      <c r="M8" s="74" t="s">
        <v>48</v>
      </c>
      <c r="N8" s="74"/>
      <c r="O8" s="78" t="s">
        <v>87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70.5" customHeight="1" x14ac:dyDescent="0.25">
      <c r="A9" s="4"/>
      <c r="B9" s="73" t="s">
        <v>49</v>
      </c>
      <c r="C9" s="74" t="s">
        <v>50</v>
      </c>
      <c r="D9" s="74" t="s">
        <v>51</v>
      </c>
      <c r="E9" s="74" t="s">
        <v>52</v>
      </c>
      <c r="F9" s="75" t="s">
        <v>53</v>
      </c>
      <c r="G9" s="74" t="s">
        <v>76</v>
      </c>
      <c r="H9" s="75" t="s">
        <v>41</v>
      </c>
      <c r="I9" s="75">
        <v>11</v>
      </c>
      <c r="J9" s="75" t="s">
        <v>88</v>
      </c>
      <c r="K9" s="76" t="s">
        <v>12</v>
      </c>
      <c r="L9" s="77" t="s">
        <v>34</v>
      </c>
      <c r="M9" s="74" t="s">
        <v>54</v>
      </c>
      <c r="N9" s="74"/>
      <c r="O9" s="78" t="s">
        <v>89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1.5" customHeight="1" x14ac:dyDescent="0.25">
      <c r="A10" s="4"/>
      <c r="B10" s="73" t="s">
        <v>55</v>
      </c>
      <c r="C10" s="74" t="s">
        <v>56</v>
      </c>
      <c r="D10" s="74" t="s">
        <v>57</v>
      </c>
      <c r="E10" s="74" t="s">
        <v>58</v>
      </c>
      <c r="F10" s="75" t="s">
        <v>59</v>
      </c>
      <c r="G10" s="74" t="s">
        <v>77</v>
      </c>
      <c r="H10" s="75" t="s">
        <v>33</v>
      </c>
      <c r="I10" s="75">
        <v>11</v>
      </c>
      <c r="J10" s="75" t="s">
        <v>88</v>
      </c>
      <c r="K10" s="76" t="s">
        <v>12</v>
      </c>
      <c r="L10" s="77" t="s">
        <v>34</v>
      </c>
      <c r="M10" s="74" t="s">
        <v>60</v>
      </c>
      <c r="N10" s="74"/>
      <c r="O10" s="78" t="s">
        <v>90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8.5" customHeight="1" x14ac:dyDescent="0.25">
      <c r="A11" s="4"/>
      <c r="B11" s="73" t="s">
        <v>61</v>
      </c>
      <c r="C11" s="74" t="s">
        <v>62</v>
      </c>
      <c r="D11" s="74" t="s">
        <v>63</v>
      </c>
      <c r="E11" s="74" t="s">
        <v>64</v>
      </c>
      <c r="F11" s="75" t="s">
        <v>53</v>
      </c>
      <c r="G11" s="74" t="s">
        <v>78</v>
      </c>
      <c r="H11" s="75" t="s">
        <v>47</v>
      </c>
      <c r="I11" s="75">
        <v>11</v>
      </c>
      <c r="J11" s="75" t="s">
        <v>91</v>
      </c>
      <c r="K11" s="76" t="s">
        <v>12</v>
      </c>
      <c r="L11" s="77" t="s">
        <v>34</v>
      </c>
      <c r="M11" s="74" t="s">
        <v>65</v>
      </c>
      <c r="N11" s="74"/>
      <c r="O11" s="78" t="s">
        <v>92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5">
      <c r="A12" s="4"/>
      <c r="B12" s="73" t="s">
        <v>66</v>
      </c>
      <c r="C12" s="74" t="s">
        <v>67</v>
      </c>
      <c r="D12" s="74" t="s">
        <v>68</v>
      </c>
      <c r="E12" s="74" t="s">
        <v>69</v>
      </c>
      <c r="F12" s="75" t="s">
        <v>70</v>
      </c>
      <c r="G12" s="74" t="s">
        <v>79</v>
      </c>
      <c r="H12" s="75" t="s">
        <v>33</v>
      </c>
      <c r="I12" s="75">
        <v>13</v>
      </c>
      <c r="J12" s="75" t="s">
        <v>91</v>
      </c>
      <c r="K12" s="79" t="s">
        <v>71</v>
      </c>
      <c r="L12" s="77" t="s">
        <v>34</v>
      </c>
      <c r="M12" s="74" t="s">
        <v>72</v>
      </c>
      <c r="N12" s="74"/>
      <c r="O12" s="78" t="s">
        <v>93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5">
      <c r="A13" s="4"/>
      <c r="B13" s="6"/>
      <c r="C13" s="7"/>
      <c r="D13" s="7"/>
      <c r="E13" s="4"/>
      <c r="F13" s="7"/>
      <c r="G13" s="7"/>
      <c r="H13" s="7"/>
      <c r="I13" s="8"/>
      <c r="J13" s="9"/>
      <c r="K13" s="8"/>
      <c r="L13" s="8"/>
      <c r="M13" s="7"/>
      <c r="N13" s="7"/>
      <c r="O13" s="10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5">
      <c r="A14" s="4"/>
      <c r="B14" s="6"/>
      <c r="C14" s="7"/>
      <c r="D14" s="7"/>
      <c r="E14" s="7"/>
      <c r="F14" s="7"/>
      <c r="G14" s="7"/>
      <c r="H14" s="7"/>
      <c r="I14" s="8"/>
      <c r="J14" s="9"/>
      <c r="K14" s="8"/>
      <c r="L14" s="8"/>
      <c r="M14" s="7"/>
      <c r="N14" s="11"/>
      <c r="O14" s="10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5">
      <c r="A15" s="4"/>
      <c r="B15" s="6"/>
      <c r="C15" s="7"/>
      <c r="D15" s="7"/>
      <c r="E15" s="4"/>
      <c r="F15" s="7"/>
      <c r="G15" s="7"/>
      <c r="H15" s="7"/>
      <c r="I15" s="8"/>
      <c r="J15" s="9"/>
      <c r="K15" s="8"/>
      <c r="L15" s="8"/>
      <c r="M15" s="7"/>
      <c r="N15" s="7"/>
      <c r="O15" s="10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5">
      <c r="A16" s="4"/>
      <c r="B16" s="6"/>
      <c r="C16" s="7"/>
      <c r="D16" s="7"/>
      <c r="E16" s="7"/>
      <c r="F16" s="7"/>
      <c r="G16" s="7"/>
      <c r="H16" s="7"/>
      <c r="I16" s="8"/>
      <c r="J16" s="9"/>
      <c r="K16" s="8"/>
      <c r="L16" s="8"/>
      <c r="M16" s="11"/>
      <c r="N16" s="7"/>
      <c r="O16" s="10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25">
      <c r="A17" s="4"/>
      <c r="B17" s="6"/>
      <c r="C17" s="7"/>
      <c r="D17" s="7"/>
      <c r="E17" s="7"/>
      <c r="F17" s="7"/>
      <c r="G17" s="7"/>
      <c r="H17" s="7"/>
      <c r="I17" s="8"/>
      <c r="J17" s="9"/>
      <c r="K17" s="8"/>
      <c r="L17" s="8"/>
      <c r="M17" s="7" t="s">
        <v>16</v>
      </c>
      <c r="N17" s="7"/>
      <c r="O17" s="1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25">
      <c r="A18" s="4"/>
      <c r="B18" s="4"/>
      <c r="C18" s="4"/>
      <c r="D18" s="4"/>
      <c r="E18" s="4"/>
      <c r="F18" s="4"/>
      <c r="G18" s="4"/>
      <c r="H18" s="4"/>
      <c r="I18" s="13"/>
      <c r="J18" s="13"/>
      <c r="K18" s="14"/>
      <c r="L18" s="13"/>
      <c r="M18" s="4"/>
      <c r="N18" s="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25">
      <c r="A19" s="4"/>
      <c r="B19" s="4"/>
      <c r="C19" s="4"/>
      <c r="D19" s="4"/>
      <c r="E19" s="4"/>
      <c r="F19" s="4"/>
      <c r="G19" s="4"/>
      <c r="H19" s="4"/>
      <c r="I19" s="13"/>
      <c r="J19" s="13"/>
      <c r="K19" s="14"/>
      <c r="L19" s="13"/>
      <c r="M19" s="4"/>
      <c r="N19" s="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25">
      <c r="A20" s="4"/>
      <c r="B20" s="4"/>
      <c r="C20" s="4"/>
      <c r="D20" s="4"/>
      <c r="E20" s="4"/>
      <c r="F20" s="4"/>
      <c r="G20" s="4"/>
      <c r="H20" s="11"/>
      <c r="I20" s="13"/>
      <c r="J20" s="13"/>
      <c r="K20" s="14"/>
      <c r="L20" s="13"/>
      <c r="M20" s="4"/>
      <c r="N20" s="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25">
      <c r="A21" s="4"/>
      <c r="B21" s="4"/>
      <c r="C21" s="4"/>
      <c r="D21" s="4"/>
      <c r="E21" s="4"/>
      <c r="F21" s="4"/>
      <c r="G21" s="4"/>
      <c r="H21" s="4"/>
      <c r="I21" s="13"/>
      <c r="J21" s="13"/>
      <c r="K21" s="14"/>
      <c r="L21" s="13"/>
      <c r="M21" s="4"/>
      <c r="N21" s="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25">
      <c r="A22" s="4"/>
      <c r="B22" s="4"/>
      <c r="C22" s="4"/>
      <c r="D22" s="4"/>
      <c r="E22" s="4"/>
      <c r="F22" s="4"/>
      <c r="G22" s="4"/>
      <c r="H22" s="4"/>
      <c r="I22" s="13"/>
      <c r="J22" s="13"/>
      <c r="K22" s="15"/>
      <c r="L22" s="13"/>
      <c r="M22" s="4"/>
      <c r="N22" s="4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25">
      <c r="A23" s="4"/>
      <c r="B23" s="4"/>
      <c r="C23" s="4"/>
      <c r="D23" s="4"/>
      <c r="E23" s="4"/>
      <c r="F23" s="4"/>
      <c r="G23" s="4"/>
      <c r="H23" s="4"/>
      <c r="I23" s="13"/>
      <c r="J23" s="13"/>
      <c r="K23" s="15"/>
      <c r="L23" s="13"/>
      <c r="M23" s="4"/>
      <c r="N23" s="4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25">
      <c r="A24" s="4"/>
      <c r="B24" s="4"/>
      <c r="C24" s="4"/>
      <c r="D24" s="4"/>
      <c r="E24" s="4"/>
      <c r="F24" s="4"/>
      <c r="G24" s="4"/>
      <c r="H24" s="4"/>
      <c r="I24" s="13"/>
      <c r="J24" s="13"/>
      <c r="K24" s="14"/>
      <c r="L24" s="13"/>
      <c r="M24" s="4"/>
      <c r="N24" s="4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25">
      <c r="A25" s="4"/>
      <c r="B25" s="4"/>
      <c r="C25" s="4"/>
      <c r="D25" s="4"/>
      <c r="E25" s="4"/>
      <c r="F25" s="4"/>
      <c r="G25" s="4"/>
      <c r="H25" s="4"/>
      <c r="I25" s="13"/>
      <c r="J25" s="4"/>
      <c r="K25" s="4"/>
      <c r="L25" s="4"/>
      <c r="M25" s="4"/>
      <c r="N25" s="4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25">
      <c r="A26" s="4"/>
      <c r="B26" s="4"/>
      <c r="C26" s="4"/>
      <c r="D26" s="4"/>
      <c r="E26" s="4"/>
      <c r="F26" s="4"/>
      <c r="G26" s="4"/>
      <c r="H26" s="4"/>
      <c r="I26" s="13"/>
      <c r="J26" s="4"/>
      <c r="K26" s="4"/>
      <c r="L26" s="4"/>
      <c r="M26" s="4"/>
      <c r="N26" s="4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25">
      <c r="A27" s="4"/>
      <c r="B27" s="4"/>
      <c r="C27" s="4"/>
      <c r="D27" s="4"/>
      <c r="E27" s="4"/>
      <c r="F27" s="4"/>
      <c r="G27" s="4"/>
      <c r="H27" s="4"/>
      <c r="I27" s="13"/>
      <c r="J27" s="4"/>
      <c r="K27" s="14" t="s">
        <v>12</v>
      </c>
      <c r="L27" s="14" t="s">
        <v>17</v>
      </c>
      <c r="M27" s="4"/>
      <c r="N27" s="4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25">
      <c r="A28" s="4"/>
      <c r="B28" s="4"/>
      <c r="C28" s="4"/>
      <c r="D28" s="4"/>
      <c r="E28" s="4"/>
      <c r="F28" s="4"/>
      <c r="G28" s="4"/>
      <c r="H28" s="4"/>
      <c r="I28" s="13"/>
      <c r="J28" s="4"/>
      <c r="K28" s="14" t="s">
        <v>15</v>
      </c>
      <c r="L28" s="14" t="s">
        <v>14</v>
      </c>
      <c r="M28" s="4"/>
      <c r="N28" s="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25">
      <c r="A29" s="4"/>
      <c r="B29" s="4"/>
      <c r="C29" s="4"/>
      <c r="D29" s="4"/>
      <c r="E29" s="4"/>
      <c r="F29" s="4"/>
      <c r="G29" s="4"/>
      <c r="H29" s="4"/>
      <c r="I29" s="13"/>
      <c r="J29" s="4"/>
      <c r="K29" s="14" t="s">
        <v>18</v>
      </c>
      <c r="L29" s="14" t="s">
        <v>13</v>
      </c>
      <c r="M29" s="4"/>
      <c r="N29" s="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25">
      <c r="A30" s="4"/>
      <c r="B30" s="4"/>
      <c r="C30" s="4"/>
      <c r="D30" s="4"/>
      <c r="E30" s="4"/>
      <c r="F30" s="4"/>
      <c r="G30" s="4"/>
      <c r="H30" s="4"/>
      <c r="I30" s="13"/>
      <c r="J30" s="4"/>
      <c r="K30" s="14"/>
      <c r="L30" s="14" t="s">
        <v>19</v>
      </c>
      <c r="M30" s="4"/>
      <c r="N30" s="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25">
      <c r="A31" s="4"/>
      <c r="B31" s="4"/>
      <c r="C31" s="4"/>
      <c r="D31" s="4"/>
      <c r="E31" s="4"/>
      <c r="F31" s="4"/>
      <c r="G31" s="4"/>
      <c r="H31" s="4"/>
      <c r="I31" s="13"/>
      <c r="J31" s="4"/>
      <c r="K31" s="4"/>
      <c r="L31" s="4"/>
      <c r="M31" s="4"/>
      <c r="N31" s="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25">
      <c r="A32" s="4"/>
      <c r="B32" s="4"/>
      <c r="C32" s="4"/>
      <c r="D32" s="4"/>
      <c r="E32" s="4"/>
      <c r="F32" s="4"/>
      <c r="G32" s="4"/>
      <c r="H32" s="4"/>
      <c r="I32" s="13"/>
      <c r="J32" s="4"/>
      <c r="K32" s="4"/>
      <c r="L32" s="4"/>
      <c r="M32" s="4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4"/>
      <c r="B33" s="4"/>
      <c r="C33" s="4"/>
      <c r="D33" s="4"/>
      <c r="E33" s="4"/>
      <c r="F33" s="4"/>
      <c r="G33" s="4"/>
      <c r="H33" s="4"/>
      <c r="I33" s="13"/>
      <c r="J33" s="4"/>
      <c r="K33" s="4"/>
      <c r="L33" s="4"/>
      <c r="M33" s="4"/>
      <c r="N33" s="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4"/>
      <c r="B34" s="4"/>
      <c r="C34" s="4"/>
      <c r="D34" s="4"/>
      <c r="E34" s="4"/>
      <c r="F34" s="4"/>
      <c r="G34" s="4"/>
      <c r="H34" s="4"/>
      <c r="I34" s="13"/>
      <c r="J34" s="4"/>
      <c r="K34" s="4"/>
      <c r="L34" s="4"/>
      <c r="M34" s="4"/>
      <c r="N34" s="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4"/>
      <c r="B35" s="4"/>
      <c r="C35" s="4"/>
      <c r="D35" s="4"/>
      <c r="E35" s="4"/>
      <c r="F35" s="4"/>
      <c r="G35" s="4"/>
      <c r="H35" s="4"/>
      <c r="I35" s="13"/>
      <c r="J35" s="13"/>
      <c r="K35" s="14"/>
      <c r="L35" s="13"/>
      <c r="M35" s="4"/>
      <c r="N35" s="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4"/>
      <c r="B36" s="4"/>
      <c r="C36" s="4"/>
      <c r="D36" s="4"/>
      <c r="E36" s="4"/>
      <c r="F36" s="4"/>
      <c r="G36" s="4"/>
      <c r="H36" s="4"/>
      <c r="I36" s="13"/>
      <c r="J36" s="13"/>
      <c r="K36" s="14"/>
      <c r="L36" s="13"/>
      <c r="M36" s="4"/>
      <c r="N36" s="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4"/>
      <c r="B37" s="4"/>
      <c r="C37" s="4"/>
      <c r="D37" s="4"/>
      <c r="E37" s="4"/>
      <c r="F37" s="4"/>
      <c r="G37" s="4"/>
      <c r="H37" s="4"/>
      <c r="I37" s="13"/>
      <c r="J37" s="13"/>
      <c r="K37" s="14"/>
      <c r="L37" s="13"/>
      <c r="M37" s="4"/>
      <c r="N37" s="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4"/>
      <c r="B38" s="4"/>
      <c r="C38" s="4"/>
      <c r="D38" s="4"/>
      <c r="E38" s="4"/>
      <c r="F38" s="4"/>
      <c r="G38" s="4"/>
      <c r="H38" s="4"/>
      <c r="I38" s="13"/>
      <c r="J38" s="13"/>
      <c r="K38" s="14"/>
      <c r="L38" s="13"/>
      <c r="M38" s="4"/>
      <c r="N38" s="4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4"/>
      <c r="B39" s="4"/>
      <c r="C39" s="4"/>
      <c r="D39" s="4"/>
      <c r="E39" s="4"/>
      <c r="F39" s="4"/>
      <c r="G39" s="4"/>
      <c r="H39" s="4"/>
      <c r="I39" s="13"/>
      <c r="J39" s="13"/>
      <c r="K39" s="14"/>
      <c r="L39" s="13"/>
      <c r="M39" s="4"/>
      <c r="N39" s="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4"/>
      <c r="B40" s="4"/>
      <c r="C40" s="4"/>
      <c r="D40" s="4"/>
      <c r="E40" s="4"/>
      <c r="F40" s="4"/>
      <c r="G40" s="4"/>
      <c r="H40" s="4"/>
      <c r="I40" s="13"/>
      <c r="J40" s="13"/>
      <c r="K40" s="14"/>
      <c r="L40" s="13"/>
      <c r="M40" s="4"/>
      <c r="N40" s="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13"/>
      <c r="J41" s="13"/>
      <c r="K41" s="14"/>
      <c r="L41" s="13"/>
      <c r="M41" s="4"/>
      <c r="N41" s="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4"/>
      <c r="B42" s="4"/>
      <c r="C42" s="4"/>
      <c r="D42" s="4"/>
      <c r="E42" s="4"/>
      <c r="F42" s="4"/>
      <c r="G42" s="4"/>
      <c r="H42" s="4"/>
      <c r="I42" s="13"/>
      <c r="J42" s="13"/>
      <c r="K42" s="14"/>
      <c r="L42" s="13"/>
      <c r="M42" s="4"/>
      <c r="N42" s="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4"/>
      <c r="B43" s="4"/>
      <c r="C43" s="4"/>
      <c r="D43" s="4"/>
      <c r="E43" s="4"/>
      <c r="F43" s="4"/>
      <c r="G43" s="4"/>
      <c r="H43" s="4"/>
      <c r="I43" s="13"/>
      <c r="J43" s="13"/>
      <c r="K43" s="14"/>
      <c r="L43" s="13"/>
      <c r="M43" s="4"/>
      <c r="N43" s="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13"/>
      <c r="J44" s="13"/>
      <c r="K44" s="14"/>
      <c r="L44" s="13"/>
      <c r="M44" s="4"/>
      <c r="N44" s="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13"/>
      <c r="J45" s="13"/>
      <c r="K45" s="14"/>
      <c r="L45" s="13"/>
      <c r="M45" s="4"/>
      <c r="N45" s="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13"/>
      <c r="J46" s="13"/>
      <c r="K46" s="14"/>
      <c r="L46" s="13"/>
      <c r="M46" s="4"/>
      <c r="N46" s="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13"/>
      <c r="J47" s="13"/>
      <c r="K47" s="14"/>
      <c r="L47" s="13"/>
      <c r="M47" s="4"/>
      <c r="N47" s="4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13"/>
      <c r="J48" s="13"/>
      <c r="K48" s="14"/>
      <c r="L48" s="13"/>
      <c r="M48" s="4"/>
      <c r="N48" s="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13"/>
      <c r="J49" s="13"/>
      <c r="K49" s="14"/>
      <c r="L49" s="13"/>
      <c r="M49" s="4"/>
      <c r="N49" s="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13"/>
      <c r="J50" s="13"/>
      <c r="K50" s="14"/>
      <c r="L50" s="13"/>
      <c r="M50" s="4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13"/>
      <c r="J51" s="13"/>
      <c r="K51" s="14"/>
      <c r="L51" s="13"/>
      <c r="M51" s="4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13"/>
      <c r="J52" s="13"/>
      <c r="K52" s="14"/>
      <c r="L52" s="13"/>
      <c r="M52" s="4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13"/>
      <c r="J53" s="13"/>
      <c r="K53" s="14"/>
      <c r="L53" s="13"/>
      <c r="M53" s="4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13"/>
      <c r="J54" s="13"/>
      <c r="K54" s="14"/>
      <c r="L54" s="13"/>
      <c r="M54" s="4"/>
      <c r="N54" s="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13"/>
      <c r="J55" s="13"/>
      <c r="K55" s="14"/>
      <c r="L55" s="13"/>
      <c r="M55" s="4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13"/>
      <c r="J56" s="13"/>
      <c r="K56" s="14"/>
      <c r="L56" s="13"/>
      <c r="M56" s="4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13"/>
      <c r="J57" s="13"/>
      <c r="K57" s="14"/>
      <c r="L57" s="13"/>
      <c r="M57" s="4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13"/>
      <c r="J58" s="13"/>
      <c r="K58" s="14"/>
      <c r="L58" s="13"/>
      <c r="M58" s="4"/>
      <c r="N58" s="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13"/>
      <c r="J59" s="13"/>
      <c r="K59" s="14"/>
      <c r="L59" s="13"/>
      <c r="M59" s="4"/>
      <c r="N59" s="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13"/>
      <c r="J60" s="13"/>
      <c r="K60" s="14"/>
      <c r="L60" s="13"/>
      <c r="M60" s="4"/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13"/>
      <c r="J61" s="13"/>
      <c r="K61" s="14"/>
      <c r="L61" s="13"/>
      <c r="M61" s="4"/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13"/>
      <c r="J62" s="13"/>
      <c r="K62" s="14"/>
      <c r="L62" s="13"/>
      <c r="M62" s="4"/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13"/>
      <c r="J63" s="13"/>
      <c r="K63" s="14"/>
      <c r="L63" s="13"/>
      <c r="M63" s="4"/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13"/>
      <c r="J64" s="13"/>
      <c r="K64" s="14"/>
      <c r="L64" s="13"/>
      <c r="M64" s="4"/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13"/>
      <c r="J65" s="13"/>
      <c r="K65" s="14"/>
      <c r="L65" s="13"/>
      <c r="M65" s="4"/>
      <c r="N65" s="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13"/>
      <c r="J66" s="13"/>
      <c r="K66" s="14"/>
      <c r="L66" s="13"/>
      <c r="M66" s="4"/>
      <c r="N66" s="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13"/>
      <c r="J67" s="13"/>
      <c r="K67" s="14"/>
      <c r="L67" s="13"/>
      <c r="M67" s="4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13"/>
      <c r="J68" s="13"/>
      <c r="K68" s="14"/>
      <c r="L68" s="13"/>
      <c r="M68" s="4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13"/>
      <c r="J69" s="13"/>
      <c r="K69" s="14"/>
      <c r="L69" s="13"/>
      <c r="M69" s="4"/>
      <c r="N69" s="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13"/>
      <c r="J70" s="13"/>
      <c r="K70" s="14"/>
      <c r="L70" s="13"/>
      <c r="M70" s="4"/>
      <c r="N70" s="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13"/>
      <c r="J71" s="13"/>
      <c r="K71" s="14"/>
      <c r="L71" s="13"/>
      <c r="M71" s="4"/>
      <c r="N71" s="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13"/>
      <c r="J72" s="13"/>
      <c r="K72" s="14"/>
      <c r="L72" s="13"/>
      <c r="M72" s="4"/>
      <c r="N72" s="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13"/>
      <c r="J73" s="13"/>
      <c r="K73" s="14"/>
      <c r="L73" s="13"/>
      <c r="M73" s="4"/>
      <c r="N73" s="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13"/>
      <c r="J74" s="13"/>
      <c r="K74" s="14"/>
      <c r="L74" s="13"/>
      <c r="M74" s="4"/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13"/>
      <c r="J75" s="13"/>
      <c r="K75" s="14"/>
      <c r="L75" s="13"/>
      <c r="M75" s="4"/>
      <c r="N75" s="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13"/>
      <c r="J76" s="13"/>
      <c r="K76" s="14"/>
      <c r="L76" s="13"/>
      <c r="M76" s="4"/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13"/>
      <c r="J77" s="13"/>
      <c r="K77" s="14"/>
      <c r="L77" s="13"/>
      <c r="M77" s="4"/>
      <c r="N77" s="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13"/>
      <c r="J78" s="13"/>
      <c r="K78" s="14"/>
      <c r="L78" s="13"/>
      <c r="M78" s="4"/>
      <c r="N78" s="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13"/>
      <c r="J79" s="13"/>
      <c r="K79" s="14"/>
      <c r="L79" s="13"/>
      <c r="M79" s="4"/>
      <c r="N79" s="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13"/>
      <c r="J80" s="13"/>
      <c r="K80" s="14"/>
      <c r="L80" s="13"/>
      <c r="M80" s="4"/>
      <c r="N80" s="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13"/>
      <c r="J81" s="13"/>
      <c r="K81" s="14"/>
      <c r="L81" s="13"/>
      <c r="M81" s="4"/>
      <c r="N81" s="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13"/>
      <c r="J82" s="13"/>
      <c r="K82" s="14"/>
      <c r="L82" s="13"/>
      <c r="M82" s="4"/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13"/>
      <c r="J83" s="13"/>
      <c r="K83" s="14"/>
      <c r="L83" s="13"/>
      <c r="M83" s="4"/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13"/>
      <c r="J84" s="13"/>
      <c r="K84" s="14"/>
      <c r="L84" s="13"/>
      <c r="M84" s="4"/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13"/>
      <c r="J85" s="13"/>
      <c r="K85" s="14"/>
      <c r="L85" s="13"/>
      <c r="M85" s="4"/>
      <c r="N85" s="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13"/>
      <c r="J86" s="13"/>
      <c r="K86" s="14"/>
      <c r="L86" s="13"/>
      <c r="M86" s="4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13"/>
      <c r="J87" s="13"/>
      <c r="K87" s="14"/>
      <c r="L87" s="13"/>
      <c r="M87" s="4"/>
      <c r="N87" s="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13"/>
      <c r="J88" s="13"/>
      <c r="K88" s="14"/>
      <c r="L88" s="13"/>
      <c r="M88" s="4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13"/>
      <c r="J89" s="13"/>
      <c r="K89" s="14"/>
      <c r="L89" s="13"/>
      <c r="M89" s="4"/>
      <c r="N89" s="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13"/>
      <c r="J90" s="13"/>
      <c r="K90" s="14"/>
      <c r="L90" s="13"/>
      <c r="M90" s="4"/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13"/>
      <c r="J91" s="13"/>
      <c r="K91" s="14"/>
      <c r="L91" s="13"/>
      <c r="M91" s="4"/>
      <c r="N91" s="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13"/>
      <c r="J92" s="13"/>
      <c r="K92" s="14"/>
      <c r="L92" s="13"/>
      <c r="M92" s="4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13"/>
      <c r="J93" s="13"/>
      <c r="K93" s="14"/>
      <c r="L93" s="13"/>
      <c r="M93" s="4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13"/>
      <c r="J94" s="13"/>
      <c r="K94" s="14"/>
      <c r="L94" s="13"/>
      <c r="M94" s="4"/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13"/>
      <c r="J95" s="13"/>
      <c r="K95" s="14"/>
      <c r="L95" s="13"/>
      <c r="M95" s="4"/>
      <c r="N95" s="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13"/>
      <c r="J96" s="13"/>
      <c r="K96" s="14"/>
      <c r="L96" s="13"/>
      <c r="M96" s="4"/>
      <c r="N96" s="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13"/>
      <c r="J97" s="13"/>
      <c r="K97" s="14"/>
      <c r="L97" s="13"/>
      <c r="M97" s="4"/>
      <c r="N97" s="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13"/>
      <c r="J98" s="13"/>
      <c r="K98" s="14"/>
      <c r="L98" s="13"/>
      <c r="M98" s="4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13"/>
      <c r="J99" s="13"/>
      <c r="K99" s="14"/>
      <c r="L99" s="13"/>
      <c r="M99" s="4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13"/>
      <c r="J100" s="13"/>
      <c r="K100" s="14"/>
      <c r="L100" s="13"/>
      <c r="M100" s="4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13"/>
      <c r="J101" s="13"/>
      <c r="K101" s="14"/>
      <c r="L101" s="13"/>
      <c r="M101" s="4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13"/>
      <c r="J102" s="13"/>
      <c r="K102" s="14"/>
      <c r="L102" s="13"/>
      <c r="M102" s="4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13"/>
      <c r="J103" s="13"/>
      <c r="K103" s="14"/>
      <c r="L103" s="13"/>
      <c r="M103" s="4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13"/>
      <c r="J104" s="13"/>
      <c r="K104" s="14"/>
      <c r="L104" s="13"/>
      <c r="M104" s="4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13"/>
      <c r="J105" s="13"/>
      <c r="K105" s="14"/>
      <c r="L105" s="13"/>
      <c r="M105" s="4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13"/>
      <c r="J106" s="13"/>
      <c r="K106" s="14"/>
      <c r="L106" s="13"/>
      <c r="M106" s="4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13"/>
      <c r="J107" s="13"/>
      <c r="K107" s="14"/>
      <c r="L107" s="13"/>
      <c r="M107" s="4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13"/>
      <c r="J108" s="13"/>
      <c r="K108" s="14"/>
      <c r="L108" s="13"/>
      <c r="M108" s="4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13"/>
      <c r="J109" s="13"/>
      <c r="K109" s="14"/>
      <c r="L109" s="13"/>
      <c r="M109" s="4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13"/>
      <c r="J110" s="13"/>
      <c r="K110" s="14"/>
      <c r="L110" s="13"/>
      <c r="M110" s="4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13"/>
      <c r="J111" s="13"/>
      <c r="K111" s="14"/>
      <c r="L111" s="13"/>
      <c r="M111" s="4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13"/>
      <c r="J112" s="13"/>
      <c r="K112" s="14"/>
      <c r="L112" s="13"/>
      <c r="M112" s="4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13"/>
      <c r="J113" s="13"/>
      <c r="K113" s="14"/>
      <c r="L113" s="13"/>
      <c r="M113" s="4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13"/>
      <c r="J114" s="13"/>
      <c r="K114" s="14"/>
      <c r="L114" s="13"/>
      <c r="M114" s="4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13"/>
      <c r="J115" s="13"/>
      <c r="K115" s="14"/>
      <c r="L115" s="13"/>
      <c r="M115" s="4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13"/>
      <c r="J116" s="13"/>
      <c r="K116" s="14"/>
      <c r="L116" s="13"/>
      <c r="M116" s="4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13"/>
      <c r="J117" s="13"/>
      <c r="K117" s="14"/>
      <c r="L117" s="13"/>
      <c r="M117" s="4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13"/>
      <c r="J118" s="13"/>
      <c r="K118" s="14"/>
      <c r="L118" s="13"/>
      <c r="M118" s="4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13"/>
      <c r="J119" s="13"/>
      <c r="K119" s="14"/>
      <c r="L119" s="13"/>
      <c r="M119" s="4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13"/>
      <c r="J120" s="13"/>
      <c r="K120" s="14"/>
      <c r="L120" s="13"/>
      <c r="M120" s="4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13"/>
      <c r="J121" s="13"/>
      <c r="K121" s="14"/>
      <c r="L121" s="13"/>
      <c r="M121" s="4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13"/>
      <c r="J122" s="13"/>
      <c r="K122" s="14"/>
      <c r="L122" s="13"/>
      <c r="M122" s="4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13"/>
      <c r="J123" s="13"/>
      <c r="K123" s="14"/>
      <c r="L123" s="13"/>
      <c r="M123" s="4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13"/>
      <c r="J124" s="13"/>
      <c r="K124" s="14"/>
      <c r="L124" s="13"/>
      <c r="M124" s="4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13"/>
      <c r="J125" s="13"/>
      <c r="K125" s="14"/>
      <c r="L125" s="13"/>
      <c r="M125" s="4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13"/>
      <c r="J126" s="13"/>
      <c r="K126" s="14"/>
      <c r="L126" s="13"/>
      <c r="M126" s="4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13"/>
      <c r="J127" s="13"/>
      <c r="K127" s="14"/>
      <c r="L127" s="13"/>
      <c r="M127" s="4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13"/>
      <c r="J128" s="13"/>
      <c r="K128" s="14"/>
      <c r="L128" s="13"/>
      <c r="M128" s="4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13"/>
      <c r="J129" s="13"/>
      <c r="K129" s="14"/>
      <c r="L129" s="13"/>
      <c r="M129" s="4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13"/>
      <c r="J130" s="13"/>
      <c r="K130" s="14"/>
      <c r="L130" s="13"/>
      <c r="M130" s="4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13"/>
      <c r="J131" s="13"/>
      <c r="K131" s="14"/>
      <c r="L131" s="13"/>
      <c r="M131" s="4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13"/>
      <c r="J132" s="13"/>
      <c r="K132" s="14"/>
      <c r="L132" s="13"/>
      <c r="M132" s="4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13"/>
      <c r="J133" s="13"/>
      <c r="K133" s="14"/>
      <c r="L133" s="13"/>
      <c r="M133" s="4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13"/>
      <c r="J134" s="13"/>
      <c r="K134" s="14"/>
      <c r="L134" s="13"/>
      <c r="M134" s="4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13"/>
      <c r="J135" s="13"/>
      <c r="K135" s="14"/>
      <c r="L135" s="13"/>
      <c r="M135" s="4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13"/>
      <c r="J136" s="13"/>
      <c r="K136" s="14"/>
      <c r="L136" s="13"/>
      <c r="M136" s="4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13"/>
      <c r="J137" s="13"/>
      <c r="K137" s="14"/>
      <c r="L137" s="13"/>
      <c r="M137" s="4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13"/>
      <c r="J138" s="13"/>
      <c r="K138" s="14"/>
      <c r="L138" s="13"/>
      <c r="M138" s="4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13"/>
      <c r="J139" s="13"/>
      <c r="K139" s="14"/>
      <c r="L139" s="13"/>
      <c r="M139" s="4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13"/>
      <c r="J140" s="13"/>
      <c r="K140" s="14"/>
      <c r="L140" s="13"/>
      <c r="M140" s="4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13"/>
      <c r="J141" s="13"/>
      <c r="K141" s="14"/>
      <c r="L141" s="13"/>
      <c r="M141" s="4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13"/>
      <c r="J142" s="13"/>
      <c r="K142" s="14"/>
      <c r="L142" s="13"/>
      <c r="M142" s="4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13"/>
      <c r="J143" s="13"/>
      <c r="K143" s="14"/>
      <c r="L143" s="13"/>
      <c r="M143" s="4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13"/>
      <c r="J144" s="13"/>
      <c r="K144" s="14"/>
      <c r="L144" s="13"/>
      <c r="M144" s="4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13"/>
      <c r="J145" s="13"/>
      <c r="K145" s="14"/>
      <c r="L145" s="13"/>
      <c r="M145" s="4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13"/>
      <c r="J146" s="13"/>
      <c r="K146" s="14"/>
      <c r="L146" s="13"/>
      <c r="M146" s="4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13"/>
      <c r="J147" s="13"/>
      <c r="K147" s="14"/>
      <c r="L147" s="13"/>
      <c r="M147" s="4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13"/>
      <c r="J148" s="13"/>
      <c r="K148" s="14"/>
      <c r="L148" s="13"/>
      <c r="M148" s="4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13"/>
      <c r="J149" s="13"/>
      <c r="K149" s="14"/>
      <c r="L149" s="13"/>
      <c r="M149" s="4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13"/>
      <c r="J150" s="13"/>
      <c r="K150" s="14"/>
      <c r="L150" s="13"/>
      <c r="M150" s="4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13"/>
      <c r="J151" s="13"/>
      <c r="K151" s="14"/>
      <c r="L151" s="13"/>
      <c r="M151" s="4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13"/>
      <c r="J152" s="13"/>
      <c r="K152" s="14"/>
      <c r="L152" s="13"/>
      <c r="M152" s="4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13"/>
      <c r="J153" s="13"/>
      <c r="K153" s="14"/>
      <c r="L153" s="13"/>
      <c r="M153" s="4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13"/>
      <c r="J154" s="13"/>
      <c r="K154" s="14"/>
      <c r="L154" s="13"/>
      <c r="M154" s="4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13"/>
      <c r="J155" s="13"/>
      <c r="K155" s="14"/>
      <c r="L155" s="13"/>
      <c r="M155" s="4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13"/>
      <c r="J156" s="13"/>
      <c r="K156" s="14"/>
      <c r="L156" s="13"/>
      <c r="M156" s="4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13"/>
      <c r="J157" s="13"/>
      <c r="K157" s="14"/>
      <c r="L157" s="13"/>
      <c r="M157" s="4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13"/>
      <c r="J158" s="13"/>
      <c r="K158" s="14"/>
      <c r="L158" s="13"/>
      <c r="M158" s="4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13"/>
      <c r="J159" s="13"/>
      <c r="K159" s="14"/>
      <c r="L159" s="13"/>
      <c r="M159" s="4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13"/>
      <c r="J160" s="13"/>
      <c r="K160" s="14"/>
      <c r="L160" s="13"/>
      <c r="M160" s="4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13"/>
      <c r="J161" s="13"/>
      <c r="K161" s="14"/>
      <c r="L161" s="13"/>
      <c r="M161" s="4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13"/>
      <c r="J162" s="13"/>
      <c r="K162" s="14"/>
      <c r="L162" s="13"/>
      <c r="M162" s="4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13"/>
      <c r="J163" s="13"/>
      <c r="K163" s="14"/>
      <c r="L163" s="13"/>
      <c r="M163" s="4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13"/>
      <c r="J164" s="13"/>
      <c r="K164" s="14"/>
      <c r="L164" s="13"/>
      <c r="M164" s="4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13"/>
      <c r="J165" s="13"/>
      <c r="K165" s="14"/>
      <c r="L165" s="13"/>
      <c r="M165" s="4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13"/>
      <c r="J166" s="13"/>
      <c r="K166" s="14"/>
      <c r="L166" s="13"/>
      <c r="M166" s="4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13"/>
      <c r="J167" s="13"/>
      <c r="K167" s="14"/>
      <c r="L167" s="13"/>
      <c r="M167" s="4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13"/>
      <c r="J168" s="13"/>
      <c r="K168" s="14"/>
      <c r="L168" s="13"/>
      <c r="M168" s="4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13"/>
      <c r="J169" s="13"/>
      <c r="K169" s="14"/>
      <c r="L169" s="13"/>
      <c r="M169" s="4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13"/>
      <c r="J170" s="13"/>
      <c r="K170" s="14"/>
      <c r="L170" s="13"/>
      <c r="M170" s="4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13"/>
      <c r="J171" s="13"/>
      <c r="K171" s="14"/>
      <c r="L171" s="13"/>
      <c r="M171" s="4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13"/>
      <c r="J172" s="13"/>
      <c r="K172" s="14"/>
      <c r="L172" s="13"/>
      <c r="M172" s="4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13"/>
      <c r="J173" s="13"/>
      <c r="K173" s="14"/>
      <c r="L173" s="13"/>
      <c r="M173" s="4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13"/>
      <c r="J174" s="13"/>
      <c r="K174" s="14"/>
      <c r="L174" s="13"/>
      <c r="M174" s="4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13"/>
      <c r="J175" s="13"/>
      <c r="K175" s="14"/>
      <c r="L175" s="13"/>
      <c r="M175" s="4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13"/>
      <c r="J176" s="13"/>
      <c r="K176" s="14"/>
      <c r="L176" s="13"/>
      <c r="M176" s="4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13"/>
      <c r="J177" s="13"/>
      <c r="K177" s="14"/>
      <c r="L177" s="13"/>
      <c r="M177" s="4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13"/>
      <c r="J178" s="13"/>
      <c r="K178" s="14"/>
      <c r="L178" s="13"/>
      <c r="M178" s="4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13"/>
      <c r="J179" s="13"/>
      <c r="K179" s="14"/>
      <c r="L179" s="13"/>
      <c r="M179" s="4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13"/>
      <c r="J180" s="13"/>
      <c r="K180" s="14"/>
      <c r="L180" s="13"/>
      <c r="M180" s="4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13"/>
      <c r="J181" s="13"/>
      <c r="K181" s="14"/>
      <c r="L181" s="13"/>
      <c r="M181" s="4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13"/>
      <c r="J182" s="13"/>
      <c r="K182" s="14"/>
      <c r="L182" s="13"/>
      <c r="M182" s="4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13"/>
      <c r="J183" s="13"/>
      <c r="K183" s="14"/>
      <c r="L183" s="13"/>
      <c r="M183" s="4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13"/>
      <c r="J184" s="13"/>
      <c r="K184" s="14"/>
      <c r="L184" s="13"/>
      <c r="M184" s="4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13"/>
      <c r="J185" s="13"/>
      <c r="K185" s="14"/>
      <c r="L185" s="13"/>
      <c r="M185" s="4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13"/>
      <c r="J186" s="13"/>
      <c r="K186" s="14"/>
      <c r="L186" s="13"/>
      <c r="M186" s="4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13"/>
      <c r="J187" s="13"/>
      <c r="K187" s="14"/>
      <c r="L187" s="13"/>
      <c r="M187" s="4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13"/>
      <c r="J188" s="13"/>
      <c r="K188" s="14"/>
      <c r="L188" s="13"/>
      <c r="M188" s="4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13"/>
      <c r="J189" s="13"/>
      <c r="K189" s="14"/>
      <c r="L189" s="13"/>
      <c r="M189" s="4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13"/>
      <c r="J190" s="13"/>
      <c r="K190" s="14"/>
      <c r="L190" s="13"/>
      <c r="M190" s="4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13"/>
      <c r="J191" s="13"/>
      <c r="K191" s="14"/>
      <c r="L191" s="13"/>
      <c r="M191" s="4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13"/>
      <c r="J192" s="13"/>
      <c r="K192" s="14"/>
      <c r="L192" s="13"/>
      <c r="M192" s="4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13"/>
      <c r="J193" s="13"/>
      <c r="K193" s="14"/>
      <c r="L193" s="13"/>
      <c r="M193" s="4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13"/>
      <c r="J194" s="13"/>
      <c r="K194" s="14"/>
      <c r="L194" s="13"/>
      <c r="M194" s="4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13"/>
      <c r="J195" s="13"/>
      <c r="K195" s="14"/>
      <c r="L195" s="13"/>
      <c r="M195" s="4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13"/>
      <c r="J196" s="13"/>
      <c r="K196" s="14"/>
      <c r="L196" s="13"/>
      <c r="M196" s="4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13"/>
      <c r="J197" s="13"/>
      <c r="K197" s="14"/>
      <c r="L197" s="13"/>
      <c r="M197" s="4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13"/>
      <c r="J198" s="13"/>
      <c r="K198" s="14"/>
      <c r="L198" s="13"/>
      <c r="M198" s="4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13"/>
      <c r="J199" s="13"/>
      <c r="K199" s="14"/>
      <c r="L199" s="13"/>
      <c r="M199" s="4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13"/>
      <c r="J200" s="13"/>
      <c r="K200" s="14"/>
      <c r="L200" s="13"/>
      <c r="M200" s="4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13"/>
      <c r="J201" s="13"/>
      <c r="K201" s="14"/>
      <c r="L201" s="13"/>
      <c r="M201" s="4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13"/>
      <c r="J202" s="13"/>
      <c r="K202" s="14"/>
      <c r="L202" s="13"/>
      <c r="M202" s="4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13"/>
      <c r="J203" s="13"/>
      <c r="K203" s="14"/>
      <c r="L203" s="13"/>
      <c r="M203" s="4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13"/>
      <c r="J204" s="13"/>
      <c r="K204" s="14"/>
      <c r="L204" s="13"/>
      <c r="M204" s="4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13"/>
      <c r="J205" s="13"/>
      <c r="K205" s="14"/>
      <c r="L205" s="13"/>
      <c r="M205" s="4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13"/>
      <c r="J206" s="13"/>
      <c r="K206" s="14"/>
      <c r="L206" s="13"/>
      <c r="M206" s="4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13"/>
      <c r="J207" s="13"/>
      <c r="K207" s="14"/>
      <c r="L207" s="13"/>
      <c r="M207" s="4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13"/>
      <c r="J208" s="13"/>
      <c r="K208" s="14"/>
      <c r="L208" s="13"/>
      <c r="M208" s="4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13"/>
      <c r="J209" s="13"/>
      <c r="K209" s="14"/>
      <c r="L209" s="13"/>
      <c r="M209" s="4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13"/>
      <c r="J210" s="13"/>
      <c r="K210" s="14"/>
      <c r="L210" s="13"/>
      <c r="M210" s="4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13"/>
      <c r="J211" s="13"/>
      <c r="K211" s="14"/>
      <c r="L211" s="13"/>
      <c r="M211" s="4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13"/>
      <c r="J212" s="13"/>
      <c r="K212" s="14"/>
      <c r="L212" s="13"/>
      <c r="M212" s="4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13"/>
      <c r="J213" s="13"/>
      <c r="K213" s="14"/>
      <c r="L213" s="13"/>
      <c r="M213" s="4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13"/>
      <c r="J214" s="13"/>
      <c r="K214" s="14"/>
      <c r="L214" s="13"/>
      <c r="M214" s="4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13"/>
      <c r="J215" s="13"/>
      <c r="K215" s="14"/>
      <c r="L215" s="13"/>
      <c r="M215" s="4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13"/>
      <c r="J216" s="13"/>
      <c r="K216" s="14"/>
      <c r="L216" s="13"/>
      <c r="M216" s="4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13"/>
      <c r="J217" s="13"/>
      <c r="K217" s="14"/>
      <c r="L217" s="13"/>
      <c r="M217" s="4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13"/>
      <c r="J218" s="13"/>
      <c r="K218" s="14"/>
      <c r="L218" s="13"/>
      <c r="M218" s="4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13"/>
      <c r="J219" s="13"/>
      <c r="K219" s="14"/>
      <c r="L219" s="13"/>
      <c r="M219" s="4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13"/>
      <c r="J220" s="13"/>
      <c r="K220" s="14"/>
      <c r="L220" s="13"/>
      <c r="M220" s="4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13"/>
      <c r="J221" s="13"/>
      <c r="K221" s="14"/>
      <c r="L221" s="13"/>
      <c r="M221" s="4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13"/>
      <c r="J222" s="13"/>
      <c r="K222" s="14"/>
      <c r="L222" s="13"/>
      <c r="M222" s="4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13"/>
      <c r="J223" s="13"/>
      <c r="K223" s="14"/>
      <c r="L223" s="13"/>
      <c r="M223" s="4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13"/>
      <c r="J224" s="13"/>
      <c r="K224" s="14"/>
      <c r="L224" s="13"/>
      <c r="M224" s="4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13"/>
      <c r="J225" s="13"/>
      <c r="K225" s="14"/>
      <c r="L225" s="13"/>
      <c r="M225" s="4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13"/>
      <c r="J226" s="13"/>
      <c r="K226" s="14"/>
      <c r="L226" s="13"/>
      <c r="M226" s="4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13"/>
      <c r="J227" s="13"/>
      <c r="K227" s="14"/>
      <c r="L227" s="13"/>
      <c r="M227" s="4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13"/>
      <c r="J228" s="13"/>
      <c r="K228" s="14"/>
      <c r="L228" s="13"/>
      <c r="M228" s="4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13"/>
      <c r="J229" s="13"/>
      <c r="K229" s="14"/>
      <c r="L229" s="13"/>
      <c r="M229" s="4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13"/>
      <c r="J230" s="13"/>
      <c r="K230" s="14"/>
      <c r="L230" s="13"/>
      <c r="M230" s="4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13"/>
      <c r="J231" s="13"/>
      <c r="K231" s="14"/>
      <c r="L231" s="13"/>
      <c r="M231" s="4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13"/>
      <c r="J232" s="13"/>
      <c r="K232" s="14"/>
      <c r="L232" s="13"/>
      <c r="M232" s="4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13"/>
      <c r="J233" s="13"/>
      <c r="K233" s="14"/>
      <c r="L233" s="13"/>
      <c r="M233" s="4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13"/>
      <c r="J234" s="13"/>
      <c r="K234" s="14"/>
      <c r="L234" s="13"/>
      <c r="M234" s="4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13"/>
      <c r="J235" s="13"/>
      <c r="K235" s="14"/>
      <c r="L235" s="13"/>
      <c r="M235" s="4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13"/>
      <c r="J236" s="13"/>
      <c r="K236" s="14"/>
      <c r="L236" s="13"/>
      <c r="M236" s="4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13"/>
      <c r="J237" s="13"/>
      <c r="K237" s="14"/>
      <c r="L237" s="13"/>
      <c r="M237" s="4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13"/>
      <c r="J238" s="13"/>
      <c r="K238" s="14"/>
      <c r="L238" s="13"/>
      <c r="M238" s="4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13"/>
      <c r="J239" s="13"/>
      <c r="K239" s="14"/>
      <c r="L239" s="13"/>
      <c r="M239" s="4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13"/>
      <c r="J240" s="13"/>
      <c r="K240" s="14"/>
      <c r="L240" s="13"/>
      <c r="M240" s="4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13"/>
      <c r="J241" s="13"/>
      <c r="K241" s="14"/>
      <c r="L241" s="13"/>
      <c r="M241" s="4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13"/>
      <c r="J242" s="13"/>
      <c r="K242" s="14"/>
      <c r="L242" s="13"/>
      <c r="M242" s="4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13"/>
      <c r="J243" s="13"/>
      <c r="K243" s="14"/>
      <c r="L243" s="13"/>
      <c r="M243" s="4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13"/>
      <c r="J244" s="13"/>
      <c r="K244" s="14"/>
      <c r="L244" s="13"/>
      <c r="M244" s="4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13"/>
      <c r="J245" s="13"/>
      <c r="K245" s="14"/>
      <c r="L245" s="13"/>
      <c r="M245" s="4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13"/>
      <c r="J246" s="13"/>
      <c r="K246" s="14"/>
      <c r="L246" s="13"/>
      <c r="M246" s="4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13"/>
      <c r="J247" s="13"/>
      <c r="K247" s="14"/>
      <c r="L247" s="13"/>
      <c r="M247" s="4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13"/>
      <c r="J248" s="13"/>
      <c r="K248" s="14"/>
      <c r="L248" s="13"/>
      <c r="M248" s="4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13"/>
      <c r="J249" s="13"/>
      <c r="K249" s="14"/>
      <c r="L249" s="13"/>
      <c r="M249" s="4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13"/>
      <c r="J250" s="13"/>
      <c r="K250" s="14"/>
      <c r="L250" s="13"/>
      <c r="M250" s="4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13"/>
      <c r="J251" s="13"/>
      <c r="K251" s="14"/>
      <c r="L251" s="13"/>
      <c r="M251" s="4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13"/>
      <c r="J252" s="13"/>
      <c r="K252" s="14"/>
      <c r="L252" s="13"/>
      <c r="M252" s="4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13"/>
      <c r="J253" s="13"/>
      <c r="K253" s="14"/>
      <c r="L253" s="13"/>
      <c r="M253" s="4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13"/>
      <c r="J254" s="13"/>
      <c r="K254" s="14"/>
      <c r="L254" s="13"/>
      <c r="M254" s="4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13"/>
      <c r="J255" s="13"/>
      <c r="K255" s="14"/>
      <c r="L255" s="13"/>
      <c r="M255" s="4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13"/>
      <c r="J256" s="13"/>
      <c r="K256" s="14"/>
      <c r="L256" s="13"/>
      <c r="M256" s="4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13"/>
      <c r="J257" s="13"/>
      <c r="K257" s="14"/>
      <c r="L257" s="13"/>
      <c r="M257" s="4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13"/>
      <c r="J258" s="13"/>
      <c r="K258" s="14"/>
      <c r="L258" s="13"/>
      <c r="M258" s="4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13"/>
      <c r="J259" s="13"/>
      <c r="K259" s="14"/>
      <c r="L259" s="13"/>
      <c r="M259" s="4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13"/>
      <c r="J260" s="13"/>
      <c r="K260" s="14"/>
      <c r="L260" s="13"/>
      <c r="M260" s="4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13"/>
      <c r="J261" s="13"/>
      <c r="K261" s="14"/>
      <c r="L261" s="13"/>
      <c r="M261" s="4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13"/>
      <c r="J262" s="13"/>
      <c r="K262" s="14"/>
      <c r="L262" s="13"/>
      <c r="M262" s="4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13"/>
      <c r="J263" s="13"/>
      <c r="K263" s="14"/>
      <c r="L263" s="13"/>
      <c r="M263" s="4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13"/>
      <c r="J264" s="13"/>
      <c r="K264" s="14"/>
      <c r="L264" s="13"/>
      <c r="M264" s="4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13"/>
      <c r="J265" s="13"/>
      <c r="K265" s="14"/>
      <c r="L265" s="13"/>
      <c r="M265" s="4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13"/>
      <c r="J266" s="13"/>
      <c r="K266" s="14"/>
      <c r="L266" s="13"/>
      <c r="M266" s="4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13"/>
      <c r="J267" s="13"/>
      <c r="K267" s="14"/>
      <c r="L267" s="13"/>
      <c r="M267" s="4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13"/>
      <c r="J268" s="13"/>
      <c r="K268" s="14"/>
      <c r="L268" s="13"/>
      <c r="M268" s="4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13"/>
      <c r="J269" s="13"/>
      <c r="K269" s="14"/>
      <c r="L269" s="13"/>
      <c r="M269" s="4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13"/>
      <c r="J270" s="13"/>
      <c r="K270" s="14"/>
      <c r="L270" s="13"/>
      <c r="M270" s="4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13"/>
      <c r="J271" s="13"/>
      <c r="K271" s="14"/>
      <c r="L271" s="13"/>
      <c r="M271" s="4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13"/>
      <c r="J272" s="13"/>
      <c r="K272" s="14"/>
      <c r="L272" s="13"/>
      <c r="M272" s="4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13"/>
      <c r="J273" s="13"/>
      <c r="K273" s="14"/>
      <c r="L273" s="13"/>
      <c r="M273" s="4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13"/>
      <c r="J274" s="13"/>
      <c r="K274" s="14"/>
      <c r="L274" s="13"/>
      <c r="M274" s="4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13"/>
      <c r="J275" s="13"/>
      <c r="K275" s="14"/>
      <c r="L275" s="13"/>
      <c r="M275" s="4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13"/>
      <c r="J276" s="13"/>
      <c r="K276" s="14"/>
      <c r="L276" s="13"/>
      <c r="M276" s="4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13"/>
      <c r="J277" s="13"/>
      <c r="K277" s="14"/>
      <c r="L277" s="13"/>
      <c r="M277" s="4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13"/>
      <c r="J278" s="13"/>
      <c r="K278" s="14"/>
      <c r="L278" s="13"/>
      <c r="M278" s="4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13"/>
      <c r="J279" s="13"/>
      <c r="K279" s="14"/>
      <c r="L279" s="13"/>
      <c r="M279" s="4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13"/>
      <c r="J280" s="13"/>
      <c r="K280" s="14"/>
      <c r="L280" s="13"/>
      <c r="M280" s="4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13"/>
      <c r="J281" s="13"/>
      <c r="K281" s="14"/>
      <c r="L281" s="13"/>
      <c r="M281" s="4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13"/>
      <c r="J282" s="13"/>
      <c r="K282" s="14"/>
      <c r="L282" s="13"/>
      <c r="M282" s="4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13"/>
      <c r="J283" s="13"/>
      <c r="K283" s="14"/>
      <c r="L283" s="13"/>
      <c r="M283" s="4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13"/>
      <c r="J284" s="13"/>
      <c r="K284" s="14"/>
      <c r="L284" s="13"/>
      <c r="M284" s="4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13"/>
      <c r="J285" s="13"/>
      <c r="K285" s="14"/>
      <c r="L285" s="13"/>
      <c r="M285" s="4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13"/>
      <c r="J286" s="13"/>
      <c r="K286" s="14"/>
      <c r="L286" s="13"/>
      <c r="M286" s="4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13"/>
      <c r="J287" s="13"/>
      <c r="K287" s="14"/>
      <c r="L287" s="13"/>
      <c r="M287" s="4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13"/>
      <c r="J288" s="13"/>
      <c r="K288" s="14"/>
      <c r="L288" s="13"/>
      <c r="M288" s="4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13"/>
      <c r="J289" s="13"/>
      <c r="K289" s="14"/>
      <c r="L289" s="13"/>
      <c r="M289" s="4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13"/>
      <c r="J290" s="13"/>
      <c r="K290" s="14"/>
      <c r="L290" s="13"/>
      <c r="M290" s="4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13"/>
      <c r="J291" s="13"/>
      <c r="K291" s="14"/>
      <c r="L291" s="13"/>
      <c r="M291" s="4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13"/>
      <c r="J292" s="13"/>
      <c r="K292" s="14"/>
      <c r="L292" s="13"/>
      <c r="M292" s="4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13"/>
      <c r="J293" s="13"/>
      <c r="K293" s="14"/>
      <c r="L293" s="13"/>
      <c r="M293" s="4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13"/>
      <c r="J294" s="13"/>
      <c r="K294" s="14"/>
      <c r="L294" s="13"/>
      <c r="M294" s="4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13"/>
      <c r="J295" s="13"/>
      <c r="K295" s="14"/>
      <c r="L295" s="13"/>
      <c r="M295" s="4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13"/>
      <c r="J296" s="13"/>
      <c r="K296" s="14"/>
      <c r="L296" s="13"/>
      <c r="M296" s="4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13"/>
      <c r="J297" s="13"/>
      <c r="K297" s="14"/>
      <c r="L297" s="13"/>
      <c r="M297" s="4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13"/>
      <c r="J298" s="13"/>
      <c r="K298" s="14"/>
      <c r="L298" s="13"/>
      <c r="M298" s="4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13"/>
      <c r="J299" s="13"/>
      <c r="K299" s="14"/>
      <c r="L299" s="13"/>
      <c r="M299" s="4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13"/>
      <c r="J300" s="13"/>
      <c r="K300" s="14"/>
      <c r="L300" s="13"/>
      <c r="M300" s="4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13"/>
      <c r="J301" s="13"/>
      <c r="K301" s="14"/>
      <c r="L301" s="13"/>
      <c r="M301" s="4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13"/>
      <c r="J302" s="13"/>
      <c r="K302" s="14"/>
      <c r="L302" s="13"/>
      <c r="M302" s="4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13"/>
      <c r="J303" s="13"/>
      <c r="K303" s="14"/>
      <c r="L303" s="13"/>
      <c r="M303" s="4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13"/>
      <c r="J304" s="13"/>
      <c r="K304" s="14"/>
      <c r="L304" s="13"/>
      <c r="M304" s="4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13"/>
      <c r="J305" s="13"/>
      <c r="K305" s="14"/>
      <c r="L305" s="13"/>
      <c r="M305" s="4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13"/>
      <c r="J306" s="13"/>
      <c r="K306" s="14"/>
      <c r="L306" s="13"/>
      <c r="M306" s="4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13"/>
      <c r="J307" s="13"/>
      <c r="K307" s="14"/>
      <c r="L307" s="13"/>
      <c r="M307" s="4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13"/>
      <c r="J308" s="13"/>
      <c r="K308" s="14"/>
      <c r="L308" s="13"/>
      <c r="M308" s="4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13"/>
      <c r="J309" s="13"/>
      <c r="K309" s="14"/>
      <c r="L309" s="13"/>
      <c r="M309" s="4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13"/>
      <c r="J310" s="13"/>
      <c r="K310" s="14"/>
      <c r="L310" s="13"/>
      <c r="M310" s="4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13"/>
      <c r="J311" s="13"/>
      <c r="K311" s="14"/>
      <c r="L311" s="13"/>
      <c r="M311" s="4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13"/>
      <c r="J312" s="13"/>
      <c r="K312" s="14"/>
      <c r="L312" s="13"/>
      <c r="M312" s="4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13"/>
      <c r="J313" s="13"/>
      <c r="K313" s="14"/>
      <c r="L313" s="13"/>
      <c r="M313" s="4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13"/>
      <c r="J314" s="13"/>
      <c r="K314" s="14"/>
      <c r="L314" s="13"/>
      <c r="M314" s="4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13"/>
      <c r="J315" s="13"/>
      <c r="K315" s="14"/>
      <c r="L315" s="13"/>
      <c r="M315" s="4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13"/>
      <c r="J316" s="13"/>
      <c r="K316" s="14"/>
      <c r="L316" s="13"/>
      <c r="M316" s="4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13"/>
      <c r="J317" s="13"/>
      <c r="K317" s="14"/>
      <c r="L317" s="13"/>
      <c r="M317" s="4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13"/>
      <c r="J318" s="13"/>
      <c r="K318" s="14"/>
      <c r="L318" s="13"/>
      <c r="M318" s="4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13"/>
      <c r="J319" s="13"/>
      <c r="K319" s="14"/>
      <c r="L319" s="13"/>
      <c r="M319" s="4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13"/>
      <c r="J320" s="13"/>
      <c r="K320" s="14"/>
      <c r="L320" s="13"/>
      <c r="M320" s="4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13"/>
      <c r="J321" s="13"/>
      <c r="K321" s="14"/>
      <c r="L321" s="13"/>
      <c r="M321" s="4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13"/>
      <c r="J322" s="13"/>
      <c r="K322" s="14"/>
      <c r="L322" s="13"/>
      <c r="M322" s="4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13"/>
      <c r="J323" s="13"/>
      <c r="K323" s="14"/>
      <c r="L323" s="13"/>
      <c r="M323" s="4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13"/>
      <c r="J324" s="13"/>
      <c r="K324" s="14"/>
      <c r="L324" s="13"/>
      <c r="M324" s="4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13"/>
      <c r="J325" s="13"/>
      <c r="K325" s="14"/>
      <c r="L325" s="13"/>
      <c r="M325" s="4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13"/>
      <c r="J326" s="13"/>
      <c r="K326" s="14"/>
      <c r="L326" s="13"/>
      <c r="M326" s="4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13"/>
      <c r="J327" s="13"/>
      <c r="K327" s="14"/>
      <c r="L327" s="13"/>
      <c r="M327" s="4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13"/>
      <c r="J328" s="13"/>
      <c r="K328" s="14"/>
      <c r="L328" s="13"/>
      <c r="M328" s="4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13"/>
      <c r="J329" s="13"/>
      <c r="K329" s="14"/>
      <c r="L329" s="13"/>
      <c r="M329" s="4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13"/>
      <c r="J330" s="13"/>
      <c r="K330" s="14"/>
      <c r="L330" s="13"/>
      <c r="M330" s="4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13"/>
      <c r="J331" s="13"/>
      <c r="K331" s="14"/>
      <c r="L331" s="13"/>
      <c r="M331" s="4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13"/>
      <c r="J332" s="13"/>
      <c r="K332" s="14"/>
      <c r="L332" s="13"/>
      <c r="M332" s="4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13"/>
      <c r="J333" s="13"/>
      <c r="K333" s="14"/>
      <c r="L333" s="13"/>
      <c r="M333" s="4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13"/>
      <c r="J334" s="13"/>
      <c r="K334" s="14"/>
      <c r="L334" s="13"/>
      <c r="M334" s="4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13"/>
      <c r="J335" s="13"/>
      <c r="K335" s="14"/>
      <c r="L335" s="13"/>
      <c r="M335" s="4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13"/>
      <c r="J336" s="13"/>
      <c r="K336" s="14"/>
      <c r="L336" s="13"/>
      <c r="M336" s="4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13"/>
      <c r="J337" s="13"/>
      <c r="K337" s="14"/>
      <c r="L337" s="13"/>
      <c r="M337" s="4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13"/>
      <c r="J338" s="13"/>
      <c r="K338" s="14"/>
      <c r="L338" s="13"/>
      <c r="M338" s="4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13"/>
      <c r="J339" s="13"/>
      <c r="K339" s="14"/>
      <c r="L339" s="13"/>
      <c r="M339" s="4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13"/>
      <c r="J340" s="13"/>
      <c r="K340" s="14"/>
      <c r="L340" s="13"/>
      <c r="M340" s="4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13"/>
      <c r="J341" s="13"/>
      <c r="K341" s="14"/>
      <c r="L341" s="13"/>
      <c r="M341" s="4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13"/>
      <c r="J342" s="13"/>
      <c r="K342" s="14"/>
      <c r="L342" s="13"/>
      <c r="M342" s="4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13"/>
      <c r="J343" s="13"/>
      <c r="K343" s="14"/>
      <c r="L343" s="13"/>
      <c r="M343" s="4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13"/>
      <c r="J344" s="13"/>
      <c r="K344" s="14"/>
      <c r="L344" s="13"/>
      <c r="M344" s="4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13"/>
      <c r="J345" s="13"/>
      <c r="K345" s="14"/>
      <c r="L345" s="13"/>
      <c r="M345" s="4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13"/>
      <c r="J346" s="13"/>
      <c r="K346" s="14"/>
      <c r="L346" s="13"/>
      <c r="M346" s="4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13"/>
      <c r="J347" s="13"/>
      <c r="K347" s="14"/>
      <c r="L347" s="13"/>
      <c r="M347" s="4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13"/>
      <c r="J348" s="13"/>
      <c r="K348" s="14"/>
      <c r="L348" s="13"/>
      <c r="M348" s="4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13"/>
      <c r="J349" s="13"/>
      <c r="K349" s="14"/>
      <c r="L349" s="13"/>
      <c r="M349" s="4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13"/>
      <c r="J350" s="13"/>
      <c r="K350" s="14"/>
      <c r="L350" s="13"/>
      <c r="M350" s="4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13"/>
      <c r="J351" s="13"/>
      <c r="K351" s="14"/>
      <c r="L351" s="13"/>
      <c r="M351" s="4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13"/>
      <c r="J352" s="13"/>
      <c r="K352" s="14"/>
      <c r="L352" s="13"/>
      <c r="M352" s="4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13"/>
      <c r="J353" s="13"/>
      <c r="K353" s="14"/>
      <c r="L353" s="13"/>
      <c r="M353" s="4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13"/>
      <c r="J354" s="13"/>
      <c r="K354" s="14"/>
      <c r="L354" s="13"/>
      <c r="M354" s="4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13"/>
      <c r="J355" s="13"/>
      <c r="K355" s="14"/>
      <c r="L355" s="13"/>
      <c r="M355" s="4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13"/>
      <c r="J356" s="13"/>
      <c r="K356" s="14"/>
      <c r="L356" s="13"/>
      <c r="M356" s="4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13"/>
      <c r="J357" s="13"/>
      <c r="K357" s="14"/>
      <c r="L357" s="13"/>
      <c r="M357" s="4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13"/>
      <c r="J358" s="13"/>
      <c r="K358" s="14"/>
      <c r="L358" s="13"/>
      <c r="M358" s="4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13"/>
      <c r="J359" s="13"/>
      <c r="K359" s="14"/>
      <c r="L359" s="13"/>
      <c r="M359" s="4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13"/>
      <c r="J360" s="13"/>
      <c r="K360" s="14"/>
      <c r="L360" s="13"/>
      <c r="M360" s="4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13"/>
      <c r="J361" s="13"/>
      <c r="K361" s="14"/>
      <c r="L361" s="13"/>
      <c r="M361" s="4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13"/>
      <c r="J362" s="13"/>
      <c r="K362" s="14"/>
      <c r="L362" s="13"/>
      <c r="M362" s="4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13"/>
      <c r="J363" s="13"/>
      <c r="K363" s="14"/>
      <c r="L363" s="13"/>
      <c r="M363" s="4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13"/>
      <c r="J364" s="13"/>
      <c r="K364" s="14"/>
      <c r="L364" s="13"/>
      <c r="M364" s="4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13"/>
      <c r="J365" s="13"/>
      <c r="K365" s="14"/>
      <c r="L365" s="13"/>
      <c r="M365" s="4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13"/>
      <c r="J366" s="13"/>
      <c r="K366" s="14"/>
      <c r="L366" s="13"/>
      <c r="M366" s="4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13"/>
      <c r="J367" s="13"/>
      <c r="K367" s="14"/>
      <c r="L367" s="13"/>
      <c r="M367" s="4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13"/>
      <c r="J368" s="13"/>
      <c r="K368" s="14"/>
      <c r="L368" s="13"/>
      <c r="M368" s="4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13"/>
      <c r="J369" s="13"/>
      <c r="K369" s="14"/>
      <c r="L369" s="13"/>
      <c r="M369" s="4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13"/>
      <c r="J370" s="13"/>
      <c r="K370" s="14"/>
      <c r="L370" s="13"/>
      <c r="M370" s="4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13"/>
      <c r="J371" s="13"/>
      <c r="K371" s="14"/>
      <c r="L371" s="13"/>
      <c r="M371" s="4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13"/>
      <c r="J372" s="13"/>
      <c r="K372" s="14"/>
      <c r="L372" s="13"/>
      <c r="M372" s="4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13"/>
      <c r="J373" s="13"/>
      <c r="K373" s="14"/>
      <c r="L373" s="13"/>
      <c r="M373" s="4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13"/>
      <c r="J374" s="13"/>
      <c r="K374" s="14"/>
      <c r="L374" s="13"/>
      <c r="M374" s="4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13"/>
      <c r="J375" s="13"/>
      <c r="K375" s="14"/>
      <c r="L375" s="13"/>
      <c r="M375" s="4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13"/>
      <c r="J376" s="13"/>
      <c r="K376" s="14"/>
      <c r="L376" s="13"/>
      <c r="M376" s="4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13"/>
      <c r="J377" s="13"/>
      <c r="K377" s="14"/>
      <c r="L377" s="13"/>
      <c r="M377" s="4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13"/>
      <c r="J378" s="13"/>
      <c r="K378" s="14"/>
      <c r="L378" s="13"/>
      <c r="M378" s="4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13"/>
      <c r="J379" s="13"/>
      <c r="K379" s="14"/>
      <c r="L379" s="13"/>
      <c r="M379" s="4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13"/>
      <c r="J380" s="13"/>
      <c r="K380" s="14"/>
      <c r="L380" s="13"/>
      <c r="M380" s="4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13"/>
      <c r="J381" s="13"/>
      <c r="K381" s="14"/>
      <c r="L381" s="13"/>
      <c r="M381" s="4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13"/>
      <c r="J382" s="13"/>
      <c r="K382" s="14"/>
      <c r="L382" s="13"/>
      <c r="M382" s="4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13"/>
      <c r="J383" s="13"/>
      <c r="K383" s="14"/>
      <c r="L383" s="13"/>
      <c r="M383" s="4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13"/>
      <c r="J384" s="13"/>
      <c r="K384" s="14"/>
      <c r="L384" s="13"/>
      <c r="M384" s="4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13"/>
      <c r="J385" s="13"/>
      <c r="K385" s="14"/>
      <c r="L385" s="13"/>
      <c r="M385" s="4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13"/>
      <c r="J386" s="13"/>
      <c r="K386" s="14"/>
      <c r="L386" s="13"/>
      <c r="M386" s="4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13"/>
      <c r="J387" s="13"/>
      <c r="K387" s="14"/>
      <c r="L387" s="13"/>
      <c r="M387" s="4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13"/>
      <c r="J388" s="13"/>
      <c r="K388" s="14"/>
      <c r="L388" s="13"/>
      <c r="M388" s="4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13"/>
      <c r="J389" s="13"/>
      <c r="K389" s="14"/>
      <c r="L389" s="13"/>
      <c r="M389" s="4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13"/>
      <c r="J390" s="13"/>
      <c r="K390" s="14"/>
      <c r="L390" s="13"/>
      <c r="M390" s="4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13"/>
      <c r="J391" s="13"/>
      <c r="K391" s="14"/>
      <c r="L391" s="13"/>
      <c r="M391" s="4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13"/>
      <c r="J392" s="13"/>
      <c r="K392" s="14"/>
      <c r="L392" s="13"/>
      <c r="M392" s="4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13"/>
      <c r="J393" s="13"/>
      <c r="K393" s="14"/>
      <c r="L393" s="13"/>
      <c r="M393" s="4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13"/>
      <c r="J394" s="13"/>
      <c r="K394" s="14"/>
      <c r="L394" s="13"/>
      <c r="M394" s="4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13"/>
      <c r="J395" s="13"/>
      <c r="K395" s="14"/>
      <c r="L395" s="13"/>
      <c r="M395" s="4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13"/>
      <c r="J396" s="13"/>
      <c r="K396" s="14"/>
      <c r="L396" s="13"/>
      <c r="M396" s="4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13"/>
      <c r="J397" s="13"/>
      <c r="K397" s="14"/>
      <c r="L397" s="13"/>
      <c r="M397" s="4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13"/>
      <c r="J398" s="13"/>
      <c r="K398" s="14"/>
      <c r="L398" s="13"/>
      <c r="M398" s="4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13"/>
      <c r="J399" s="13"/>
      <c r="K399" s="14"/>
      <c r="L399" s="13"/>
      <c r="M399" s="4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13"/>
      <c r="J400" s="13"/>
      <c r="K400" s="14"/>
      <c r="L400" s="13"/>
      <c r="M400" s="4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13"/>
      <c r="J401" s="13"/>
      <c r="K401" s="14"/>
      <c r="L401" s="13"/>
      <c r="M401" s="4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13"/>
      <c r="J402" s="13"/>
      <c r="K402" s="14"/>
      <c r="L402" s="13"/>
      <c r="M402" s="4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13"/>
      <c r="J403" s="13"/>
      <c r="K403" s="14"/>
      <c r="L403" s="13"/>
      <c r="M403" s="4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13"/>
      <c r="J404" s="13"/>
      <c r="K404" s="14"/>
      <c r="L404" s="13"/>
      <c r="M404" s="4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13"/>
      <c r="J405" s="13"/>
      <c r="K405" s="14"/>
      <c r="L405" s="13"/>
      <c r="M405" s="4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13"/>
      <c r="J406" s="13"/>
      <c r="K406" s="14"/>
      <c r="L406" s="13"/>
      <c r="M406" s="4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13"/>
      <c r="J407" s="13"/>
      <c r="K407" s="14"/>
      <c r="L407" s="13"/>
      <c r="M407" s="4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13"/>
      <c r="J408" s="13"/>
      <c r="K408" s="14"/>
      <c r="L408" s="13"/>
      <c r="M408" s="4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13"/>
      <c r="J409" s="13"/>
      <c r="K409" s="14"/>
      <c r="L409" s="13"/>
      <c r="M409" s="4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13"/>
      <c r="J410" s="13"/>
      <c r="K410" s="14"/>
      <c r="L410" s="13"/>
      <c r="M410" s="4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13"/>
      <c r="J411" s="13"/>
      <c r="K411" s="14"/>
      <c r="L411" s="13"/>
      <c r="M411" s="4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13"/>
      <c r="J412" s="13"/>
      <c r="K412" s="14"/>
      <c r="L412" s="13"/>
      <c r="M412" s="4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13"/>
      <c r="J413" s="13"/>
      <c r="K413" s="14"/>
      <c r="L413" s="13"/>
      <c r="M413" s="4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13"/>
      <c r="J414" s="13"/>
      <c r="K414" s="14"/>
      <c r="L414" s="13"/>
      <c r="M414" s="4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13"/>
      <c r="J415" s="13"/>
      <c r="K415" s="14"/>
      <c r="L415" s="13"/>
      <c r="M415" s="4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13"/>
      <c r="J416" s="13"/>
      <c r="K416" s="14"/>
      <c r="L416" s="13"/>
      <c r="M416" s="4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13"/>
      <c r="J417" s="13"/>
      <c r="K417" s="14"/>
      <c r="L417" s="13"/>
      <c r="M417" s="4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13"/>
      <c r="J418" s="13"/>
      <c r="K418" s="14"/>
      <c r="L418" s="13"/>
      <c r="M418" s="4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13"/>
      <c r="J419" s="13"/>
      <c r="K419" s="14"/>
      <c r="L419" s="13"/>
      <c r="M419" s="4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13"/>
      <c r="J420" s="13"/>
      <c r="K420" s="14"/>
      <c r="L420" s="13"/>
      <c r="M420" s="4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13"/>
      <c r="J421" s="13"/>
      <c r="K421" s="14"/>
      <c r="L421" s="13"/>
      <c r="M421" s="4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13"/>
      <c r="J422" s="13"/>
      <c r="K422" s="14"/>
      <c r="L422" s="13"/>
      <c r="M422" s="4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13"/>
      <c r="J423" s="13"/>
      <c r="K423" s="14"/>
      <c r="L423" s="13"/>
      <c r="M423" s="4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13"/>
      <c r="J424" s="13"/>
      <c r="K424" s="14"/>
      <c r="L424" s="13"/>
      <c r="M424" s="4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13"/>
      <c r="J425" s="13"/>
      <c r="K425" s="14"/>
      <c r="L425" s="13"/>
      <c r="M425" s="4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13"/>
      <c r="J426" s="13"/>
      <c r="K426" s="14"/>
      <c r="L426" s="13"/>
      <c r="M426" s="4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13"/>
      <c r="J427" s="13"/>
      <c r="K427" s="14"/>
      <c r="L427" s="13"/>
      <c r="M427" s="4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13"/>
      <c r="J428" s="13"/>
      <c r="K428" s="14"/>
      <c r="L428" s="13"/>
      <c r="M428" s="4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13"/>
      <c r="J429" s="13"/>
      <c r="K429" s="14"/>
      <c r="L429" s="13"/>
      <c r="M429" s="4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13"/>
      <c r="J430" s="13"/>
      <c r="K430" s="14"/>
      <c r="L430" s="13"/>
      <c r="M430" s="4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13"/>
      <c r="J431" s="13"/>
      <c r="K431" s="14"/>
      <c r="L431" s="13"/>
      <c r="M431" s="4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13"/>
      <c r="J432" s="13"/>
      <c r="K432" s="14"/>
      <c r="L432" s="13"/>
      <c r="M432" s="4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13"/>
      <c r="J433" s="13"/>
      <c r="K433" s="14"/>
      <c r="L433" s="13"/>
      <c r="M433" s="4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13"/>
      <c r="J434" s="13"/>
      <c r="K434" s="14"/>
      <c r="L434" s="13"/>
      <c r="M434" s="4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13"/>
      <c r="J435" s="13"/>
      <c r="K435" s="14"/>
      <c r="L435" s="13"/>
      <c r="M435" s="4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13"/>
      <c r="J436" s="13"/>
      <c r="K436" s="14"/>
      <c r="L436" s="13"/>
      <c r="M436" s="4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13"/>
      <c r="J437" s="13"/>
      <c r="K437" s="14"/>
      <c r="L437" s="13"/>
      <c r="M437" s="4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13"/>
      <c r="J438" s="13"/>
      <c r="K438" s="14"/>
      <c r="L438" s="13"/>
      <c r="M438" s="4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13"/>
      <c r="J439" s="13"/>
      <c r="K439" s="14"/>
      <c r="L439" s="13"/>
      <c r="M439" s="4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13"/>
      <c r="J440" s="13"/>
      <c r="K440" s="14"/>
      <c r="L440" s="13"/>
      <c r="M440" s="4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13"/>
      <c r="J441" s="13"/>
      <c r="K441" s="14"/>
      <c r="L441" s="13"/>
      <c r="M441" s="4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13"/>
      <c r="J442" s="13"/>
      <c r="K442" s="14"/>
      <c r="L442" s="13"/>
      <c r="M442" s="4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13"/>
      <c r="J443" s="13"/>
      <c r="K443" s="14"/>
      <c r="L443" s="13"/>
      <c r="M443" s="4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13"/>
      <c r="J444" s="13"/>
      <c r="K444" s="14"/>
      <c r="L444" s="13"/>
      <c r="M444" s="4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13"/>
      <c r="J445" s="13"/>
      <c r="K445" s="14"/>
      <c r="L445" s="13"/>
      <c r="M445" s="4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13"/>
      <c r="J446" s="13"/>
      <c r="K446" s="14"/>
      <c r="L446" s="13"/>
      <c r="M446" s="4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13"/>
      <c r="J447" s="13"/>
      <c r="K447" s="14"/>
      <c r="L447" s="13"/>
      <c r="M447" s="4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13"/>
      <c r="J448" s="13"/>
      <c r="K448" s="14"/>
      <c r="L448" s="13"/>
      <c r="M448" s="4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13"/>
      <c r="J449" s="13"/>
      <c r="K449" s="14"/>
      <c r="L449" s="13"/>
      <c r="M449" s="4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13"/>
      <c r="J450" s="13"/>
      <c r="K450" s="14"/>
      <c r="L450" s="13"/>
      <c r="M450" s="4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13"/>
      <c r="J451" s="13"/>
      <c r="K451" s="14"/>
      <c r="L451" s="13"/>
      <c r="M451" s="4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13"/>
      <c r="J452" s="13"/>
      <c r="K452" s="14"/>
      <c r="L452" s="13"/>
      <c r="M452" s="4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13"/>
      <c r="J453" s="13"/>
      <c r="K453" s="14"/>
      <c r="L453" s="13"/>
      <c r="M453" s="4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13"/>
      <c r="J454" s="13"/>
      <c r="K454" s="14"/>
      <c r="L454" s="13"/>
      <c r="M454" s="4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13"/>
      <c r="J455" s="13"/>
      <c r="K455" s="14"/>
      <c r="L455" s="13"/>
      <c r="M455" s="4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13"/>
      <c r="J456" s="13"/>
      <c r="K456" s="14"/>
      <c r="L456" s="13"/>
      <c r="M456" s="4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13"/>
      <c r="J457" s="13"/>
      <c r="K457" s="14"/>
      <c r="L457" s="13"/>
      <c r="M457" s="4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13"/>
      <c r="J458" s="13"/>
      <c r="K458" s="14"/>
      <c r="L458" s="13"/>
      <c r="M458" s="4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13"/>
      <c r="J459" s="13"/>
      <c r="K459" s="14"/>
      <c r="L459" s="13"/>
      <c r="M459" s="4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13"/>
      <c r="J460" s="13"/>
      <c r="K460" s="14"/>
      <c r="L460" s="13"/>
      <c r="M460" s="4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13"/>
      <c r="J461" s="13"/>
      <c r="K461" s="14"/>
      <c r="L461" s="13"/>
      <c r="M461" s="4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13"/>
      <c r="J462" s="13"/>
      <c r="K462" s="14"/>
      <c r="L462" s="13"/>
      <c r="M462" s="4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13"/>
      <c r="J463" s="13"/>
      <c r="K463" s="14"/>
      <c r="L463" s="13"/>
      <c r="M463" s="4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13"/>
      <c r="J464" s="13"/>
      <c r="K464" s="14"/>
      <c r="L464" s="13"/>
      <c r="M464" s="4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13"/>
      <c r="J465" s="13"/>
      <c r="K465" s="14"/>
      <c r="L465" s="13"/>
      <c r="M465" s="4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13"/>
      <c r="J466" s="13"/>
      <c r="K466" s="14"/>
      <c r="L466" s="13"/>
      <c r="M466" s="4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13"/>
      <c r="J467" s="13"/>
      <c r="K467" s="14"/>
      <c r="L467" s="13"/>
      <c r="M467" s="4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13"/>
      <c r="J468" s="13"/>
      <c r="K468" s="14"/>
      <c r="L468" s="13"/>
      <c r="M468" s="4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13"/>
      <c r="J469" s="13"/>
      <c r="K469" s="14"/>
      <c r="L469" s="13"/>
      <c r="M469" s="4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13"/>
      <c r="J470" s="13"/>
      <c r="K470" s="14"/>
      <c r="L470" s="13"/>
      <c r="M470" s="4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13"/>
      <c r="J471" s="13"/>
      <c r="K471" s="14"/>
      <c r="L471" s="13"/>
      <c r="M471" s="4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13"/>
      <c r="J472" s="13"/>
      <c r="K472" s="14"/>
      <c r="L472" s="13"/>
      <c r="M472" s="4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13"/>
      <c r="J473" s="13"/>
      <c r="K473" s="14"/>
      <c r="L473" s="13"/>
      <c r="M473" s="4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13"/>
      <c r="J474" s="13"/>
      <c r="K474" s="14"/>
      <c r="L474" s="13"/>
      <c r="M474" s="4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13"/>
      <c r="J475" s="13"/>
      <c r="K475" s="14"/>
      <c r="L475" s="13"/>
      <c r="M475" s="4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13"/>
      <c r="J476" s="13"/>
      <c r="K476" s="14"/>
      <c r="L476" s="13"/>
      <c r="M476" s="4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13"/>
      <c r="J477" s="13"/>
      <c r="K477" s="14"/>
      <c r="L477" s="13"/>
      <c r="M477" s="4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13"/>
      <c r="J478" s="13"/>
      <c r="K478" s="14"/>
      <c r="L478" s="13"/>
      <c r="M478" s="4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13"/>
      <c r="J479" s="13"/>
      <c r="K479" s="14"/>
      <c r="L479" s="13"/>
      <c r="M479" s="4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13"/>
      <c r="J480" s="13"/>
      <c r="K480" s="14"/>
      <c r="L480" s="13"/>
      <c r="M480" s="4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13"/>
      <c r="J481" s="13"/>
      <c r="K481" s="14"/>
      <c r="L481" s="13"/>
      <c r="M481" s="4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13"/>
      <c r="J482" s="13"/>
      <c r="K482" s="14"/>
      <c r="L482" s="13"/>
      <c r="M482" s="4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13"/>
      <c r="J483" s="13"/>
      <c r="K483" s="14"/>
      <c r="L483" s="13"/>
      <c r="M483" s="4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13"/>
      <c r="J484" s="13"/>
      <c r="K484" s="14"/>
      <c r="L484" s="13"/>
      <c r="M484" s="4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13"/>
      <c r="J485" s="13"/>
      <c r="K485" s="14"/>
      <c r="L485" s="13"/>
      <c r="M485" s="4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13"/>
      <c r="J486" s="13"/>
      <c r="K486" s="14"/>
      <c r="L486" s="13"/>
      <c r="M486" s="4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13"/>
      <c r="J487" s="13"/>
      <c r="K487" s="14"/>
      <c r="L487" s="13"/>
      <c r="M487" s="4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13"/>
      <c r="J488" s="13"/>
      <c r="K488" s="14"/>
      <c r="L488" s="13"/>
      <c r="M488" s="4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13"/>
      <c r="J489" s="13"/>
      <c r="K489" s="14"/>
      <c r="L489" s="13"/>
      <c r="M489" s="4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13"/>
      <c r="J490" s="13"/>
      <c r="K490" s="14"/>
      <c r="L490" s="13"/>
      <c r="M490" s="4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13"/>
      <c r="J491" s="13"/>
      <c r="K491" s="14"/>
      <c r="L491" s="13"/>
      <c r="M491" s="4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13"/>
      <c r="J492" s="13"/>
      <c r="K492" s="14"/>
      <c r="L492" s="13"/>
      <c r="M492" s="4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13"/>
      <c r="J493" s="13"/>
      <c r="K493" s="14"/>
      <c r="L493" s="13"/>
      <c r="M493" s="4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13"/>
      <c r="J494" s="13"/>
      <c r="K494" s="14"/>
      <c r="L494" s="13"/>
      <c r="M494" s="4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13"/>
      <c r="J495" s="13"/>
      <c r="K495" s="14"/>
      <c r="L495" s="13"/>
      <c r="M495" s="4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13"/>
      <c r="J496" s="13"/>
      <c r="K496" s="14"/>
      <c r="L496" s="13"/>
      <c r="M496" s="4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13"/>
      <c r="J497" s="13"/>
      <c r="K497" s="14"/>
      <c r="L497" s="13"/>
      <c r="M497" s="4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13"/>
      <c r="J498" s="13"/>
      <c r="K498" s="14"/>
      <c r="L498" s="13"/>
      <c r="M498" s="4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13"/>
      <c r="J499" s="13"/>
      <c r="K499" s="14"/>
      <c r="L499" s="13"/>
      <c r="M499" s="4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13"/>
      <c r="J500" s="13"/>
      <c r="K500" s="14"/>
      <c r="L500" s="13"/>
      <c r="M500" s="4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13"/>
      <c r="J501" s="13"/>
      <c r="K501" s="14"/>
      <c r="L501" s="13"/>
      <c r="M501" s="4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13"/>
      <c r="J502" s="13"/>
      <c r="K502" s="14"/>
      <c r="L502" s="13"/>
      <c r="M502" s="4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13"/>
      <c r="J503" s="13"/>
      <c r="K503" s="14"/>
      <c r="L503" s="13"/>
      <c r="M503" s="4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13"/>
      <c r="J504" s="13"/>
      <c r="K504" s="14"/>
      <c r="L504" s="13"/>
      <c r="M504" s="4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13"/>
      <c r="J505" s="13"/>
      <c r="K505" s="14"/>
      <c r="L505" s="13"/>
      <c r="M505" s="4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13"/>
      <c r="J506" s="13"/>
      <c r="K506" s="14"/>
      <c r="L506" s="13"/>
      <c r="M506" s="4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13"/>
      <c r="J507" s="13"/>
      <c r="K507" s="14"/>
      <c r="L507" s="13"/>
      <c r="M507" s="4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13"/>
      <c r="J508" s="13"/>
      <c r="K508" s="14"/>
      <c r="L508" s="13"/>
      <c r="M508" s="4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13"/>
      <c r="J509" s="13"/>
      <c r="K509" s="14"/>
      <c r="L509" s="13"/>
      <c r="M509" s="4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13"/>
      <c r="J510" s="13"/>
      <c r="K510" s="14"/>
      <c r="L510" s="13"/>
      <c r="M510" s="4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13"/>
      <c r="J511" s="13"/>
      <c r="K511" s="14"/>
      <c r="L511" s="13"/>
      <c r="M511" s="4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13"/>
      <c r="J512" s="13"/>
      <c r="K512" s="14"/>
      <c r="L512" s="13"/>
      <c r="M512" s="4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13"/>
      <c r="J513" s="13"/>
      <c r="K513" s="14"/>
      <c r="L513" s="13"/>
      <c r="M513" s="4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13"/>
      <c r="J514" s="13"/>
      <c r="K514" s="14"/>
      <c r="L514" s="13"/>
      <c r="M514" s="4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13"/>
      <c r="J515" s="13"/>
      <c r="K515" s="14"/>
      <c r="L515" s="13"/>
      <c r="M515" s="4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13"/>
      <c r="J516" s="13"/>
      <c r="K516" s="14"/>
      <c r="L516" s="13"/>
      <c r="M516" s="4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13"/>
      <c r="J517" s="13"/>
      <c r="K517" s="14"/>
      <c r="L517" s="13"/>
      <c r="M517" s="4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13"/>
      <c r="J518" s="13"/>
      <c r="K518" s="14"/>
      <c r="L518" s="13"/>
      <c r="M518" s="4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13"/>
      <c r="J519" s="13"/>
      <c r="K519" s="14"/>
      <c r="L519" s="13"/>
      <c r="M519" s="4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13"/>
      <c r="J520" s="13"/>
      <c r="K520" s="14"/>
      <c r="L520" s="13"/>
      <c r="M520" s="4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13"/>
      <c r="J521" s="13"/>
      <c r="K521" s="14"/>
      <c r="L521" s="13"/>
      <c r="M521" s="4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13"/>
      <c r="J522" s="13"/>
      <c r="K522" s="14"/>
      <c r="L522" s="13"/>
      <c r="M522" s="4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13"/>
      <c r="J523" s="13"/>
      <c r="K523" s="14"/>
      <c r="L523" s="13"/>
      <c r="M523" s="4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13"/>
      <c r="J524" s="13"/>
      <c r="K524" s="14"/>
      <c r="L524" s="13"/>
      <c r="M524" s="4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13"/>
      <c r="J525" s="13"/>
      <c r="K525" s="14"/>
      <c r="L525" s="13"/>
      <c r="M525" s="4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13"/>
      <c r="J526" s="13"/>
      <c r="K526" s="14"/>
      <c r="L526" s="13"/>
      <c r="M526" s="4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13"/>
      <c r="J527" s="13"/>
      <c r="K527" s="14"/>
      <c r="L527" s="13"/>
      <c r="M527" s="4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13"/>
      <c r="J528" s="13"/>
      <c r="K528" s="14"/>
      <c r="L528" s="13"/>
      <c r="M528" s="4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13"/>
      <c r="J529" s="13"/>
      <c r="K529" s="14"/>
      <c r="L529" s="13"/>
      <c r="M529" s="4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13"/>
      <c r="J530" s="13"/>
      <c r="K530" s="14"/>
      <c r="L530" s="13"/>
      <c r="M530" s="4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13"/>
      <c r="J531" s="13"/>
      <c r="K531" s="14"/>
      <c r="L531" s="13"/>
      <c r="M531" s="4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13"/>
      <c r="J532" s="13"/>
      <c r="K532" s="14"/>
      <c r="L532" s="13"/>
      <c r="M532" s="4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13"/>
      <c r="J533" s="13"/>
      <c r="K533" s="14"/>
      <c r="L533" s="13"/>
      <c r="M533" s="4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13"/>
      <c r="J534" s="13"/>
      <c r="K534" s="14"/>
      <c r="L534" s="13"/>
      <c r="M534" s="4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13"/>
      <c r="J535" s="13"/>
      <c r="K535" s="14"/>
      <c r="L535" s="13"/>
      <c r="M535" s="4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13"/>
      <c r="J536" s="13"/>
      <c r="K536" s="14"/>
      <c r="L536" s="13"/>
      <c r="M536" s="4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13"/>
      <c r="J537" s="13"/>
      <c r="K537" s="14"/>
      <c r="L537" s="13"/>
      <c r="M537" s="4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13"/>
      <c r="J538" s="13"/>
      <c r="K538" s="14"/>
      <c r="L538" s="13"/>
      <c r="M538" s="4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13"/>
      <c r="J539" s="13"/>
      <c r="K539" s="14"/>
      <c r="L539" s="13"/>
      <c r="M539" s="4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13"/>
      <c r="J540" s="13"/>
      <c r="K540" s="14"/>
      <c r="L540" s="13"/>
      <c r="M540" s="4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13"/>
      <c r="J541" s="13"/>
      <c r="K541" s="14"/>
      <c r="L541" s="13"/>
      <c r="M541" s="4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13"/>
      <c r="J542" s="13"/>
      <c r="K542" s="14"/>
      <c r="L542" s="13"/>
      <c r="M542" s="4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13"/>
      <c r="J543" s="13"/>
      <c r="K543" s="14"/>
      <c r="L543" s="13"/>
      <c r="M543" s="4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13"/>
      <c r="J544" s="13"/>
      <c r="K544" s="14"/>
      <c r="L544" s="13"/>
      <c r="M544" s="4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13"/>
      <c r="J545" s="13"/>
      <c r="K545" s="14"/>
      <c r="L545" s="13"/>
      <c r="M545" s="4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13"/>
      <c r="J546" s="13"/>
      <c r="K546" s="14"/>
      <c r="L546" s="13"/>
      <c r="M546" s="4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13"/>
      <c r="J547" s="13"/>
      <c r="K547" s="14"/>
      <c r="L547" s="13"/>
      <c r="M547" s="4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13"/>
      <c r="J548" s="13"/>
      <c r="K548" s="14"/>
      <c r="L548" s="13"/>
      <c r="M548" s="4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13"/>
      <c r="J549" s="13"/>
      <c r="K549" s="14"/>
      <c r="L549" s="13"/>
      <c r="M549" s="4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13"/>
      <c r="J550" s="13"/>
      <c r="K550" s="14"/>
      <c r="L550" s="13"/>
      <c r="M550" s="4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13"/>
      <c r="J551" s="13"/>
      <c r="K551" s="14"/>
      <c r="L551" s="13"/>
      <c r="M551" s="4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13"/>
      <c r="J552" s="13"/>
      <c r="K552" s="14"/>
      <c r="L552" s="13"/>
      <c r="M552" s="4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13"/>
      <c r="J553" s="13"/>
      <c r="K553" s="14"/>
      <c r="L553" s="13"/>
      <c r="M553" s="4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13"/>
      <c r="J554" s="13"/>
      <c r="K554" s="14"/>
      <c r="L554" s="13"/>
      <c r="M554" s="4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13"/>
      <c r="J555" s="13"/>
      <c r="K555" s="14"/>
      <c r="L555" s="13"/>
      <c r="M555" s="4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13"/>
      <c r="J556" s="13"/>
      <c r="K556" s="14"/>
      <c r="L556" s="13"/>
      <c r="M556" s="4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13"/>
      <c r="J557" s="13"/>
      <c r="K557" s="14"/>
      <c r="L557" s="13"/>
      <c r="M557" s="4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13"/>
      <c r="J558" s="13"/>
      <c r="K558" s="14"/>
      <c r="L558" s="13"/>
      <c r="M558" s="4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13"/>
      <c r="J559" s="13"/>
      <c r="K559" s="14"/>
      <c r="L559" s="13"/>
      <c r="M559" s="4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13"/>
      <c r="J560" s="13"/>
      <c r="K560" s="14"/>
      <c r="L560" s="13"/>
      <c r="M560" s="4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13"/>
      <c r="J561" s="13"/>
      <c r="K561" s="14"/>
      <c r="L561" s="13"/>
      <c r="M561" s="4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13"/>
      <c r="J562" s="13"/>
      <c r="K562" s="14"/>
      <c r="L562" s="13"/>
      <c r="M562" s="4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13"/>
      <c r="J563" s="13"/>
      <c r="K563" s="14"/>
      <c r="L563" s="13"/>
      <c r="M563" s="4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13"/>
      <c r="J564" s="13"/>
      <c r="K564" s="14"/>
      <c r="L564" s="13"/>
      <c r="M564" s="4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13"/>
      <c r="J565" s="13"/>
      <c r="K565" s="14"/>
      <c r="L565" s="13"/>
      <c r="M565" s="4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13"/>
      <c r="J566" s="13"/>
      <c r="K566" s="14"/>
      <c r="L566" s="13"/>
      <c r="M566" s="4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13"/>
      <c r="J567" s="13"/>
      <c r="K567" s="14"/>
      <c r="L567" s="13"/>
      <c r="M567" s="4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13"/>
      <c r="J568" s="13"/>
      <c r="K568" s="14"/>
      <c r="L568" s="13"/>
      <c r="M568" s="4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13"/>
      <c r="J569" s="13"/>
      <c r="K569" s="14"/>
      <c r="L569" s="13"/>
      <c r="M569" s="4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13"/>
      <c r="J570" s="13"/>
      <c r="K570" s="14"/>
      <c r="L570" s="13"/>
      <c r="M570" s="4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13"/>
      <c r="J571" s="13"/>
      <c r="K571" s="14"/>
      <c r="L571" s="13"/>
      <c r="M571" s="4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13"/>
      <c r="J572" s="13"/>
      <c r="K572" s="14"/>
      <c r="L572" s="13"/>
      <c r="M572" s="4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13"/>
      <c r="J573" s="13"/>
      <c r="K573" s="14"/>
      <c r="L573" s="13"/>
      <c r="M573" s="4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13"/>
      <c r="J574" s="13"/>
      <c r="K574" s="14"/>
      <c r="L574" s="13"/>
      <c r="M574" s="4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13"/>
      <c r="J575" s="13"/>
      <c r="K575" s="14"/>
      <c r="L575" s="13"/>
      <c r="M575" s="4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13"/>
      <c r="J576" s="13"/>
      <c r="K576" s="14"/>
      <c r="L576" s="13"/>
      <c r="M576" s="4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13"/>
      <c r="J577" s="13"/>
      <c r="K577" s="14"/>
      <c r="L577" s="13"/>
      <c r="M577" s="4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13"/>
      <c r="J578" s="13"/>
      <c r="K578" s="14"/>
      <c r="L578" s="13"/>
      <c r="M578" s="4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13"/>
      <c r="J579" s="13"/>
      <c r="K579" s="14"/>
      <c r="L579" s="13"/>
      <c r="M579" s="4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13"/>
      <c r="J580" s="13"/>
      <c r="K580" s="14"/>
      <c r="L580" s="13"/>
      <c r="M580" s="4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13"/>
      <c r="J581" s="13"/>
      <c r="K581" s="14"/>
      <c r="L581" s="13"/>
      <c r="M581" s="4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13"/>
      <c r="J582" s="13"/>
      <c r="K582" s="14"/>
      <c r="L582" s="13"/>
      <c r="M582" s="4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13"/>
      <c r="J583" s="13"/>
      <c r="K583" s="14"/>
      <c r="L583" s="13"/>
      <c r="M583" s="4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13"/>
      <c r="J584" s="13"/>
      <c r="K584" s="14"/>
      <c r="L584" s="13"/>
      <c r="M584" s="4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13"/>
      <c r="J585" s="13"/>
      <c r="K585" s="14"/>
      <c r="L585" s="13"/>
      <c r="M585" s="4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13"/>
      <c r="J586" s="13"/>
      <c r="K586" s="14"/>
      <c r="L586" s="13"/>
      <c r="M586" s="4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13"/>
      <c r="J587" s="13"/>
      <c r="K587" s="14"/>
      <c r="L587" s="13"/>
      <c r="M587" s="4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13"/>
      <c r="J588" s="13"/>
      <c r="K588" s="14"/>
      <c r="L588" s="13"/>
      <c r="M588" s="4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13"/>
      <c r="J589" s="13"/>
      <c r="K589" s="14"/>
      <c r="L589" s="13"/>
      <c r="M589" s="4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13"/>
      <c r="J590" s="13"/>
      <c r="K590" s="14"/>
      <c r="L590" s="13"/>
      <c r="M590" s="4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13"/>
      <c r="J591" s="13"/>
      <c r="K591" s="14"/>
      <c r="L591" s="13"/>
      <c r="M591" s="4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13"/>
      <c r="J592" s="13"/>
      <c r="K592" s="14"/>
      <c r="L592" s="13"/>
      <c r="M592" s="4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13"/>
      <c r="J593" s="13"/>
      <c r="K593" s="14"/>
      <c r="L593" s="13"/>
      <c r="M593" s="4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13"/>
      <c r="J594" s="13"/>
      <c r="K594" s="14"/>
      <c r="L594" s="13"/>
      <c r="M594" s="4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13"/>
      <c r="J595" s="13"/>
      <c r="K595" s="14"/>
      <c r="L595" s="13"/>
      <c r="M595" s="4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13"/>
      <c r="J596" s="13"/>
      <c r="K596" s="14"/>
      <c r="L596" s="13"/>
      <c r="M596" s="4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13"/>
      <c r="J597" s="13"/>
      <c r="K597" s="14"/>
      <c r="L597" s="13"/>
      <c r="M597" s="4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13"/>
      <c r="J598" s="13"/>
      <c r="K598" s="14"/>
      <c r="L598" s="13"/>
      <c r="M598" s="4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13"/>
      <c r="J599" s="13"/>
      <c r="K599" s="14"/>
      <c r="L599" s="13"/>
      <c r="M599" s="4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13"/>
      <c r="J600" s="13"/>
      <c r="K600" s="14"/>
      <c r="L600" s="13"/>
      <c r="M600" s="4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13"/>
      <c r="J601" s="13"/>
      <c r="K601" s="14"/>
      <c r="L601" s="13"/>
      <c r="M601" s="4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13"/>
      <c r="J602" s="13"/>
      <c r="K602" s="14"/>
      <c r="L602" s="13"/>
      <c r="M602" s="4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13"/>
      <c r="J603" s="13"/>
      <c r="K603" s="14"/>
      <c r="L603" s="13"/>
      <c r="M603" s="4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13"/>
      <c r="J604" s="13"/>
      <c r="K604" s="14"/>
      <c r="L604" s="13"/>
      <c r="M604" s="4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13"/>
      <c r="J605" s="13"/>
      <c r="K605" s="14"/>
      <c r="L605" s="13"/>
      <c r="M605" s="4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13"/>
      <c r="J606" s="13"/>
      <c r="K606" s="14"/>
      <c r="L606" s="13"/>
      <c r="M606" s="4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13"/>
      <c r="J607" s="13"/>
      <c r="K607" s="14"/>
      <c r="L607" s="13"/>
      <c r="M607" s="4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13"/>
      <c r="J608" s="13"/>
      <c r="K608" s="14"/>
      <c r="L608" s="13"/>
      <c r="M608" s="4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13"/>
      <c r="J609" s="13"/>
      <c r="K609" s="14"/>
      <c r="L609" s="13"/>
      <c r="M609" s="4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13"/>
      <c r="J610" s="13"/>
      <c r="K610" s="14"/>
      <c r="L610" s="13"/>
      <c r="M610" s="4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13"/>
      <c r="J611" s="13"/>
      <c r="K611" s="14"/>
      <c r="L611" s="13"/>
      <c r="M611" s="4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13"/>
      <c r="J612" s="13"/>
      <c r="K612" s="14"/>
      <c r="L612" s="13"/>
      <c r="M612" s="4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13"/>
      <c r="J613" s="13"/>
      <c r="K613" s="14"/>
      <c r="L613" s="13"/>
      <c r="M613" s="4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13"/>
      <c r="J614" s="13"/>
      <c r="K614" s="14"/>
      <c r="L614" s="13"/>
      <c r="M614" s="4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13"/>
      <c r="J615" s="13"/>
      <c r="K615" s="14"/>
      <c r="L615" s="13"/>
      <c r="M615" s="4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13"/>
      <c r="J616" s="13"/>
      <c r="K616" s="14"/>
      <c r="L616" s="13"/>
      <c r="M616" s="4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13"/>
      <c r="J617" s="13"/>
      <c r="K617" s="14"/>
      <c r="L617" s="13"/>
      <c r="M617" s="4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13"/>
      <c r="J618" s="13"/>
      <c r="K618" s="14"/>
      <c r="L618" s="13"/>
      <c r="M618" s="4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13"/>
      <c r="J619" s="13"/>
      <c r="K619" s="14"/>
      <c r="L619" s="13"/>
      <c r="M619" s="4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13"/>
      <c r="J620" s="13"/>
      <c r="K620" s="14"/>
      <c r="L620" s="13"/>
      <c r="M620" s="4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13"/>
      <c r="J621" s="13"/>
      <c r="K621" s="14"/>
      <c r="L621" s="13"/>
      <c r="M621" s="4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13"/>
      <c r="J622" s="13"/>
      <c r="K622" s="14"/>
      <c r="L622" s="13"/>
      <c r="M622" s="4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13"/>
      <c r="J623" s="13"/>
      <c r="K623" s="14"/>
      <c r="L623" s="13"/>
      <c r="M623" s="4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13"/>
      <c r="J624" s="13"/>
      <c r="K624" s="14"/>
      <c r="L624" s="13"/>
      <c r="M624" s="4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13"/>
      <c r="J625" s="13"/>
      <c r="K625" s="14"/>
      <c r="L625" s="13"/>
      <c r="M625" s="4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13"/>
      <c r="J626" s="13"/>
      <c r="K626" s="14"/>
      <c r="L626" s="13"/>
      <c r="M626" s="4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13"/>
      <c r="J627" s="13"/>
      <c r="K627" s="14"/>
      <c r="L627" s="13"/>
      <c r="M627" s="4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13"/>
      <c r="J628" s="13"/>
      <c r="K628" s="14"/>
      <c r="L628" s="13"/>
      <c r="M628" s="4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13"/>
      <c r="J629" s="13"/>
      <c r="K629" s="14"/>
      <c r="L629" s="13"/>
      <c r="M629" s="4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13"/>
      <c r="J630" s="13"/>
      <c r="K630" s="14"/>
      <c r="L630" s="13"/>
      <c r="M630" s="4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13"/>
      <c r="J631" s="13"/>
      <c r="K631" s="14"/>
      <c r="L631" s="13"/>
      <c r="M631" s="4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13"/>
      <c r="J632" s="13"/>
      <c r="K632" s="14"/>
      <c r="L632" s="13"/>
      <c r="M632" s="4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13"/>
      <c r="J633" s="13"/>
      <c r="K633" s="14"/>
      <c r="L633" s="13"/>
      <c r="M633" s="4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13"/>
      <c r="J634" s="13"/>
      <c r="K634" s="14"/>
      <c r="L634" s="13"/>
      <c r="M634" s="4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13"/>
      <c r="J635" s="13"/>
      <c r="K635" s="14"/>
      <c r="L635" s="13"/>
      <c r="M635" s="4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13"/>
      <c r="J636" s="13"/>
      <c r="K636" s="14"/>
      <c r="L636" s="13"/>
      <c r="M636" s="4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13"/>
      <c r="J637" s="13"/>
      <c r="K637" s="14"/>
      <c r="L637" s="13"/>
      <c r="M637" s="4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13"/>
      <c r="J638" s="13"/>
      <c r="K638" s="14"/>
      <c r="L638" s="13"/>
      <c r="M638" s="4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13"/>
      <c r="J639" s="13"/>
      <c r="K639" s="14"/>
      <c r="L639" s="13"/>
      <c r="M639" s="4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13"/>
      <c r="J640" s="13"/>
      <c r="K640" s="14"/>
      <c r="L640" s="13"/>
      <c r="M640" s="4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13"/>
      <c r="J641" s="13"/>
      <c r="K641" s="14"/>
      <c r="L641" s="13"/>
      <c r="M641" s="4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13"/>
      <c r="J642" s="13"/>
      <c r="K642" s="14"/>
      <c r="L642" s="13"/>
      <c r="M642" s="4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13"/>
      <c r="J643" s="13"/>
      <c r="K643" s="14"/>
      <c r="L643" s="13"/>
      <c r="M643" s="4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13"/>
      <c r="J644" s="13"/>
      <c r="K644" s="14"/>
      <c r="L644" s="13"/>
      <c r="M644" s="4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13"/>
      <c r="J645" s="13"/>
      <c r="K645" s="14"/>
      <c r="L645" s="13"/>
      <c r="M645" s="4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13"/>
      <c r="J646" s="13"/>
      <c r="K646" s="14"/>
      <c r="L646" s="13"/>
      <c r="M646" s="4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13"/>
      <c r="J647" s="13"/>
      <c r="K647" s="14"/>
      <c r="L647" s="13"/>
      <c r="M647" s="4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13"/>
      <c r="J648" s="13"/>
      <c r="K648" s="14"/>
      <c r="L648" s="13"/>
      <c r="M648" s="4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13"/>
      <c r="J649" s="13"/>
      <c r="K649" s="14"/>
      <c r="L649" s="13"/>
      <c r="M649" s="4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13"/>
      <c r="J650" s="13"/>
      <c r="K650" s="14"/>
      <c r="L650" s="13"/>
      <c r="M650" s="4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13"/>
      <c r="J651" s="13"/>
      <c r="K651" s="14"/>
      <c r="L651" s="13"/>
      <c r="M651" s="4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13"/>
      <c r="J652" s="13"/>
      <c r="K652" s="14"/>
      <c r="L652" s="13"/>
      <c r="M652" s="4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13"/>
      <c r="J653" s="13"/>
      <c r="K653" s="14"/>
      <c r="L653" s="13"/>
      <c r="M653" s="4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13"/>
      <c r="J654" s="13"/>
      <c r="K654" s="14"/>
      <c r="L654" s="13"/>
      <c r="M654" s="4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13"/>
      <c r="J655" s="13"/>
      <c r="K655" s="14"/>
      <c r="L655" s="13"/>
      <c r="M655" s="4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13"/>
      <c r="J656" s="13"/>
      <c r="K656" s="14"/>
      <c r="L656" s="13"/>
      <c r="M656" s="4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13"/>
      <c r="J657" s="13"/>
      <c r="K657" s="14"/>
      <c r="L657" s="13"/>
      <c r="M657" s="4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13"/>
      <c r="J658" s="13"/>
      <c r="K658" s="14"/>
      <c r="L658" s="13"/>
      <c r="M658" s="4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13"/>
      <c r="J659" s="13"/>
      <c r="K659" s="14"/>
      <c r="L659" s="13"/>
      <c r="M659" s="4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13"/>
      <c r="J660" s="13"/>
      <c r="K660" s="14"/>
      <c r="L660" s="13"/>
      <c r="M660" s="4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13"/>
      <c r="J661" s="13"/>
      <c r="K661" s="14"/>
      <c r="L661" s="13"/>
      <c r="M661" s="4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13"/>
      <c r="J662" s="13"/>
      <c r="K662" s="14"/>
      <c r="L662" s="13"/>
      <c r="M662" s="4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13"/>
      <c r="J663" s="13"/>
      <c r="K663" s="14"/>
      <c r="L663" s="13"/>
      <c r="M663" s="4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13"/>
      <c r="J664" s="13"/>
      <c r="K664" s="14"/>
      <c r="L664" s="13"/>
      <c r="M664" s="4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13"/>
      <c r="J665" s="13"/>
      <c r="K665" s="14"/>
      <c r="L665" s="13"/>
      <c r="M665" s="4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13"/>
      <c r="J666" s="13"/>
      <c r="K666" s="14"/>
      <c r="L666" s="13"/>
      <c r="M666" s="4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13"/>
      <c r="J667" s="13"/>
      <c r="K667" s="14"/>
      <c r="L667" s="13"/>
      <c r="M667" s="4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13"/>
      <c r="J668" s="13"/>
      <c r="K668" s="14"/>
      <c r="L668" s="13"/>
      <c r="M668" s="4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13"/>
      <c r="J669" s="13"/>
      <c r="K669" s="14"/>
      <c r="L669" s="13"/>
      <c r="M669" s="4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13"/>
      <c r="J670" s="13"/>
      <c r="K670" s="14"/>
      <c r="L670" s="13"/>
      <c r="M670" s="4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13"/>
      <c r="J671" s="13"/>
      <c r="K671" s="14"/>
      <c r="L671" s="13"/>
      <c r="M671" s="4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13"/>
      <c r="J672" s="13"/>
      <c r="K672" s="14"/>
      <c r="L672" s="13"/>
      <c r="M672" s="4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13"/>
      <c r="J673" s="13"/>
      <c r="K673" s="14"/>
      <c r="L673" s="13"/>
      <c r="M673" s="4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13"/>
      <c r="J674" s="13"/>
      <c r="K674" s="14"/>
      <c r="L674" s="13"/>
      <c r="M674" s="4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13"/>
      <c r="J675" s="13"/>
      <c r="K675" s="14"/>
      <c r="L675" s="13"/>
      <c r="M675" s="4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13"/>
      <c r="J676" s="13"/>
      <c r="K676" s="14"/>
      <c r="L676" s="13"/>
      <c r="M676" s="4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13"/>
      <c r="J677" s="13"/>
      <c r="K677" s="14"/>
      <c r="L677" s="13"/>
      <c r="M677" s="4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13"/>
      <c r="J678" s="13"/>
      <c r="K678" s="14"/>
      <c r="L678" s="13"/>
      <c r="M678" s="4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13"/>
      <c r="J679" s="13"/>
      <c r="K679" s="14"/>
      <c r="L679" s="13"/>
      <c r="M679" s="4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13"/>
      <c r="J680" s="13"/>
      <c r="K680" s="14"/>
      <c r="L680" s="13"/>
      <c r="M680" s="4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13"/>
      <c r="J681" s="13"/>
      <c r="K681" s="14"/>
      <c r="L681" s="13"/>
      <c r="M681" s="4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13"/>
      <c r="J682" s="13"/>
      <c r="K682" s="14"/>
      <c r="L682" s="13"/>
      <c r="M682" s="4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13"/>
      <c r="J683" s="13"/>
      <c r="K683" s="14"/>
      <c r="L683" s="13"/>
      <c r="M683" s="4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13"/>
      <c r="J684" s="13"/>
      <c r="K684" s="14"/>
      <c r="L684" s="13"/>
      <c r="M684" s="4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13"/>
      <c r="J685" s="13"/>
      <c r="K685" s="14"/>
      <c r="L685" s="13"/>
      <c r="M685" s="4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13"/>
      <c r="J686" s="13"/>
      <c r="K686" s="14"/>
      <c r="L686" s="13"/>
      <c r="M686" s="4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13"/>
      <c r="J687" s="13"/>
      <c r="K687" s="14"/>
      <c r="L687" s="13"/>
      <c r="M687" s="4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13"/>
      <c r="J688" s="13"/>
      <c r="K688" s="14"/>
      <c r="L688" s="13"/>
      <c r="M688" s="4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13"/>
      <c r="J689" s="13"/>
      <c r="K689" s="14"/>
      <c r="L689" s="13"/>
      <c r="M689" s="4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13"/>
      <c r="J690" s="13"/>
      <c r="K690" s="14"/>
      <c r="L690" s="13"/>
      <c r="M690" s="4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13"/>
      <c r="J691" s="13"/>
      <c r="K691" s="14"/>
      <c r="L691" s="13"/>
      <c r="M691" s="4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13"/>
      <c r="J692" s="13"/>
      <c r="K692" s="14"/>
      <c r="L692" s="13"/>
      <c r="M692" s="4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13"/>
      <c r="J693" s="13"/>
      <c r="K693" s="14"/>
      <c r="L693" s="13"/>
      <c r="M693" s="4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13"/>
      <c r="J694" s="13"/>
      <c r="K694" s="14"/>
      <c r="L694" s="13"/>
      <c r="M694" s="4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13"/>
      <c r="J695" s="13"/>
      <c r="K695" s="14"/>
      <c r="L695" s="13"/>
      <c r="M695" s="4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13"/>
      <c r="J696" s="13"/>
      <c r="K696" s="14"/>
      <c r="L696" s="13"/>
      <c r="M696" s="4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13"/>
      <c r="J697" s="13"/>
      <c r="K697" s="14"/>
      <c r="L697" s="13"/>
      <c r="M697" s="4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13"/>
      <c r="J698" s="13"/>
      <c r="K698" s="14"/>
      <c r="L698" s="13"/>
      <c r="M698" s="4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13"/>
      <c r="J699" s="13"/>
      <c r="K699" s="14"/>
      <c r="L699" s="13"/>
      <c r="M699" s="4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13"/>
      <c r="J700" s="13"/>
      <c r="K700" s="14"/>
      <c r="L700" s="13"/>
      <c r="M700" s="4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13"/>
      <c r="J701" s="13"/>
      <c r="K701" s="14"/>
      <c r="L701" s="13"/>
      <c r="M701" s="4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13"/>
      <c r="J702" s="13"/>
      <c r="K702" s="14"/>
      <c r="L702" s="13"/>
      <c r="M702" s="4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13"/>
      <c r="J703" s="13"/>
      <c r="K703" s="14"/>
      <c r="L703" s="13"/>
      <c r="M703" s="4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13"/>
      <c r="J704" s="13"/>
      <c r="K704" s="14"/>
      <c r="L704" s="13"/>
      <c r="M704" s="4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13"/>
      <c r="J705" s="13"/>
      <c r="K705" s="14"/>
      <c r="L705" s="13"/>
      <c r="M705" s="4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13"/>
      <c r="J706" s="13"/>
      <c r="K706" s="14"/>
      <c r="L706" s="13"/>
      <c r="M706" s="4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13"/>
      <c r="J707" s="13"/>
      <c r="K707" s="14"/>
      <c r="L707" s="13"/>
      <c r="M707" s="4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13"/>
      <c r="J708" s="13"/>
      <c r="K708" s="14"/>
      <c r="L708" s="13"/>
      <c r="M708" s="4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13"/>
      <c r="J709" s="13"/>
      <c r="K709" s="14"/>
      <c r="L709" s="13"/>
      <c r="M709" s="4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13"/>
      <c r="J710" s="13"/>
      <c r="K710" s="14"/>
      <c r="L710" s="13"/>
      <c r="M710" s="4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13"/>
      <c r="J711" s="13"/>
      <c r="K711" s="14"/>
      <c r="L711" s="13"/>
      <c r="M711" s="4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13"/>
      <c r="J712" s="13"/>
      <c r="K712" s="14"/>
      <c r="L712" s="13"/>
      <c r="M712" s="4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13"/>
      <c r="J713" s="13"/>
      <c r="K713" s="14"/>
      <c r="L713" s="13"/>
      <c r="M713" s="4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13"/>
      <c r="J714" s="13"/>
      <c r="K714" s="14"/>
      <c r="L714" s="13"/>
      <c r="M714" s="4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13"/>
      <c r="J715" s="13"/>
      <c r="K715" s="14"/>
      <c r="L715" s="13"/>
      <c r="M715" s="4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13"/>
      <c r="J716" s="13"/>
      <c r="K716" s="14"/>
      <c r="L716" s="13"/>
      <c r="M716" s="4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13"/>
      <c r="J717" s="13"/>
      <c r="K717" s="14"/>
      <c r="L717" s="13"/>
      <c r="M717" s="4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13"/>
      <c r="J718" s="13"/>
      <c r="K718" s="14"/>
      <c r="L718" s="13"/>
      <c r="M718" s="4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13"/>
      <c r="J719" s="13"/>
      <c r="K719" s="14"/>
      <c r="L719" s="13"/>
      <c r="M719" s="4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13"/>
      <c r="J720" s="13"/>
      <c r="K720" s="14"/>
      <c r="L720" s="13"/>
      <c r="M720" s="4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13"/>
      <c r="J721" s="13"/>
      <c r="K721" s="14"/>
      <c r="L721" s="13"/>
      <c r="M721" s="4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13"/>
      <c r="J722" s="13"/>
      <c r="K722" s="14"/>
      <c r="L722" s="13"/>
      <c r="M722" s="4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13"/>
      <c r="J723" s="13"/>
      <c r="K723" s="14"/>
      <c r="L723" s="13"/>
      <c r="M723" s="4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13"/>
      <c r="J724" s="13"/>
      <c r="K724" s="14"/>
      <c r="L724" s="13"/>
      <c r="M724" s="4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13"/>
      <c r="J725" s="13"/>
      <c r="K725" s="14"/>
      <c r="L725" s="13"/>
      <c r="M725" s="4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13"/>
      <c r="J726" s="13"/>
      <c r="K726" s="14"/>
      <c r="L726" s="13"/>
      <c r="M726" s="4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13"/>
      <c r="J727" s="13"/>
      <c r="K727" s="14"/>
      <c r="L727" s="13"/>
      <c r="M727" s="4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13"/>
      <c r="J728" s="13"/>
      <c r="K728" s="14"/>
      <c r="L728" s="13"/>
      <c r="M728" s="4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13"/>
      <c r="J729" s="13"/>
      <c r="K729" s="14"/>
      <c r="L729" s="13"/>
      <c r="M729" s="4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13"/>
      <c r="J730" s="13"/>
      <c r="K730" s="14"/>
      <c r="L730" s="13"/>
      <c r="M730" s="4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13"/>
      <c r="J731" s="13"/>
      <c r="K731" s="14"/>
      <c r="L731" s="13"/>
      <c r="M731" s="4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13"/>
      <c r="J732" s="13"/>
      <c r="K732" s="14"/>
      <c r="L732" s="13"/>
      <c r="M732" s="4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13"/>
      <c r="J733" s="13"/>
      <c r="K733" s="14"/>
      <c r="L733" s="13"/>
      <c r="M733" s="4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13"/>
      <c r="J734" s="13"/>
      <c r="K734" s="14"/>
      <c r="L734" s="13"/>
      <c r="M734" s="4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13"/>
      <c r="J735" s="13"/>
      <c r="K735" s="14"/>
      <c r="L735" s="13"/>
      <c r="M735" s="4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13"/>
      <c r="J736" s="13"/>
      <c r="K736" s="14"/>
      <c r="L736" s="13"/>
      <c r="M736" s="4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13"/>
      <c r="J737" s="13"/>
      <c r="K737" s="14"/>
      <c r="L737" s="13"/>
      <c r="M737" s="4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13"/>
      <c r="J738" s="13"/>
      <c r="K738" s="14"/>
      <c r="L738" s="13"/>
      <c r="M738" s="4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13"/>
      <c r="J739" s="13"/>
      <c r="K739" s="14"/>
      <c r="L739" s="13"/>
      <c r="M739" s="4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13"/>
      <c r="J740" s="13"/>
      <c r="K740" s="14"/>
      <c r="L740" s="13"/>
      <c r="M740" s="4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13"/>
      <c r="J741" s="13"/>
      <c r="K741" s="14"/>
      <c r="L741" s="13"/>
      <c r="M741" s="4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13"/>
      <c r="J742" s="13"/>
      <c r="K742" s="14"/>
      <c r="L742" s="13"/>
      <c r="M742" s="4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13"/>
      <c r="J743" s="13"/>
      <c r="K743" s="14"/>
      <c r="L743" s="13"/>
      <c r="M743" s="4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13"/>
      <c r="J744" s="13"/>
      <c r="K744" s="14"/>
      <c r="L744" s="13"/>
      <c r="M744" s="4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13"/>
      <c r="J745" s="13"/>
      <c r="K745" s="14"/>
      <c r="L745" s="13"/>
      <c r="M745" s="4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13"/>
      <c r="J746" s="13"/>
      <c r="K746" s="14"/>
      <c r="L746" s="13"/>
      <c r="M746" s="4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13"/>
      <c r="J747" s="13"/>
      <c r="K747" s="14"/>
      <c r="L747" s="13"/>
      <c r="M747" s="4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13"/>
      <c r="J748" s="13"/>
      <c r="K748" s="14"/>
      <c r="L748" s="13"/>
      <c r="M748" s="4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13"/>
      <c r="J749" s="13"/>
      <c r="K749" s="14"/>
      <c r="L749" s="13"/>
      <c r="M749" s="4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13"/>
      <c r="J750" s="13"/>
      <c r="K750" s="14"/>
      <c r="L750" s="13"/>
      <c r="M750" s="4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13"/>
      <c r="J751" s="13"/>
      <c r="K751" s="14"/>
      <c r="L751" s="13"/>
      <c r="M751" s="4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13"/>
      <c r="J752" s="13"/>
      <c r="K752" s="14"/>
      <c r="L752" s="13"/>
      <c r="M752" s="4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13"/>
      <c r="J753" s="13"/>
      <c r="K753" s="14"/>
      <c r="L753" s="13"/>
      <c r="M753" s="4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13"/>
      <c r="J754" s="13"/>
      <c r="K754" s="14"/>
      <c r="L754" s="13"/>
      <c r="M754" s="4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13"/>
      <c r="J755" s="13"/>
      <c r="K755" s="14"/>
      <c r="L755" s="13"/>
      <c r="M755" s="4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13"/>
      <c r="J756" s="13"/>
      <c r="K756" s="14"/>
      <c r="L756" s="13"/>
      <c r="M756" s="4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13"/>
      <c r="J757" s="13"/>
      <c r="K757" s="14"/>
      <c r="L757" s="13"/>
      <c r="M757" s="4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13"/>
      <c r="J758" s="13"/>
      <c r="K758" s="14"/>
      <c r="L758" s="13"/>
      <c r="M758" s="4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13"/>
      <c r="J759" s="13"/>
      <c r="K759" s="14"/>
      <c r="L759" s="13"/>
      <c r="M759" s="4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13"/>
      <c r="J760" s="13"/>
      <c r="K760" s="14"/>
      <c r="L760" s="13"/>
      <c r="M760" s="4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13"/>
      <c r="J761" s="13"/>
      <c r="K761" s="14"/>
      <c r="L761" s="13"/>
      <c r="M761" s="4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13"/>
      <c r="J762" s="13"/>
      <c r="K762" s="14"/>
      <c r="L762" s="13"/>
      <c r="M762" s="4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13"/>
      <c r="J763" s="13"/>
      <c r="K763" s="14"/>
      <c r="L763" s="13"/>
      <c r="M763" s="4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13"/>
      <c r="J764" s="13"/>
      <c r="K764" s="14"/>
      <c r="L764" s="13"/>
      <c r="M764" s="4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13"/>
      <c r="J765" s="13"/>
      <c r="K765" s="14"/>
      <c r="L765" s="13"/>
      <c r="M765" s="4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13"/>
      <c r="J766" s="13"/>
      <c r="K766" s="14"/>
      <c r="L766" s="13"/>
      <c r="M766" s="4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13"/>
      <c r="J767" s="13"/>
      <c r="K767" s="14"/>
      <c r="L767" s="13"/>
      <c r="M767" s="4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13"/>
      <c r="J768" s="13"/>
      <c r="K768" s="14"/>
      <c r="L768" s="13"/>
      <c r="M768" s="4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13"/>
      <c r="J769" s="13"/>
      <c r="K769" s="14"/>
      <c r="L769" s="13"/>
      <c r="M769" s="4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13"/>
      <c r="J770" s="13"/>
      <c r="K770" s="14"/>
      <c r="L770" s="13"/>
      <c r="M770" s="4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13"/>
      <c r="J771" s="13"/>
      <c r="K771" s="14"/>
      <c r="L771" s="13"/>
      <c r="M771" s="4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13"/>
      <c r="J772" s="13"/>
      <c r="K772" s="14"/>
      <c r="L772" s="13"/>
      <c r="M772" s="4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13"/>
      <c r="J773" s="13"/>
      <c r="K773" s="14"/>
      <c r="L773" s="13"/>
      <c r="M773" s="4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13"/>
      <c r="J774" s="13"/>
      <c r="K774" s="14"/>
      <c r="L774" s="13"/>
      <c r="M774" s="4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13"/>
      <c r="J775" s="13"/>
      <c r="K775" s="14"/>
      <c r="L775" s="13"/>
      <c r="M775" s="4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13"/>
      <c r="J776" s="13"/>
      <c r="K776" s="14"/>
      <c r="L776" s="13"/>
      <c r="M776" s="4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13"/>
      <c r="J777" s="13"/>
      <c r="K777" s="14"/>
      <c r="L777" s="13"/>
      <c r="M777" s="4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13"/>
      <c r="J778" s="13"/>
      <c r="K778" s="14"/>
      <c r="L778" s="13"/>
      <c r="M778" s="4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13"/>
      <c r="J779" s="13"/>
      <c r="K779" s="14"/>
      <c r="L779" s="13"/>
      <c r="M779" s="4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13"/>
      <c r="J780" s="13"/>
      <c r="K780" s="14"/>
      <c r="L780" s="13"/>
      <c r="M780" s="4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13"/>
      <c r="J781" s="13"/>
      <c r="K781" s="14"/>
      <c r="L781" s="13"/>
      <c r="M781" s="4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13"/>
      <c r="J782" s="13"/>
      <c r="K782" s="14"/>
      <c r="L782" s="13"/>
      <c r="M782" s="4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13"/>
      <c r="J783" s="13"/>
      <c r="K783" s="14"/>
      <c r="L783" s="13"/>
      <c r="M783" s="4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13"/>
      <c r="J784" s="13"/>
      <c r="K784" s="14"/>
      <c r="L784" s="13"/>
      <c r="M784" s="4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13"/>
      <c r="J785" s="13"/>
      <c r="K785" s="14"/>
      <c r="L785" s="13"/>
      <c r="M785" s="4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13"/>
      <c r="J786" s="13"/>
      <c r="K786" s="14"/>
      <c r="L786" s="13"/>
      <c r="M786" s="4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13"/>
      <c r="J787" s="13"/>
      <c r="K787" s="14"/>
      <c r="L787" s="13"/>
      <c r="M787" s="4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13"/>
      <c r="J788" s="13"/>
      <c r="K788" s="14"/>
      <c r="L788" s="13"/>
      <c r="M788" s="4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13"/>
      <c r="J789" s="13"/>
      <c r="K789" s="14"/>
      <c r="L789" s="13"/>
      <c r="M789" s="4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13"/>
      <c r="J790" s="13"/>
      <c r="K790" s="14"/>
      <c r="L790" s="13"/>
      <c r="M790" s="4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13"/>
      <c r="J791" s="13"/>
      <c r="K791" s="14"/>
      <c r="L791" s="13"/>
      <c r="M791" s="4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13"/>
      <c r="J792" s="13"/>
      <c r="K792" s="14"/>
      <c r="L792" s="13"/>
      <c r="M792" s="4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13"/>
      <c r="J793" s="13"/>
      <c r="K793" s="14"/>
      <c r="L793" s="13"/>
      <c r="M793" s="4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13"/>
      <c r="J794" s="13"/>
      <c r="K794" s="14"/>
      <c r="L794" s="13"/>
      <c r="M794" s="4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13"/>
      <c r="J795" s="13"/>
      <c r="K795" s="14"/>
      <c r="L795" s="13"/>
      <c r="M795" s="4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13"/>
      <c r="J796" s="13"/>
      <c r="K796" s="14"/>
      <c r="L796" s="13"/>
      <c r="M796" s="4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13"/>
      <c r="J797" s="13"/>
      <c r="K797" s="14"/>
      <c r="L797" s="13"/>
      <c r="M797" s="4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13"/>
      <c r="J798" s="13"/>
      <c r="K798" s="14"/>
      <c r="L798" s="13"/>
      <c r="M798" s="4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13"/>
      <c r="J799" s="13"/>
      <c r="K799" s="14"/>
      <c r="L799" s="13"/>
      <c r="M799" s="4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13"/>
      <c r="J800" s="13"/>
      <c r="K800" s="14"/>
      <c r="L800" s="13"/>
      <c r="M800" s="4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13"/>
      <c r="J801" s="13"/>
      <c r="K801" s="14"/>
      <c r="L801" s="13"/>
      <c r="M801" s="4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13"/>
      <c r="J802" s="13"/>
      <c r="K802" s="14"/>
      <c r="L802" s="13"/>
      <c r="M802" s="4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13"/>
      <c r="J803" s="13"/>
      <c r="K803" s="14"/>
      <c r="L803" s="13"/>
      <c r="M803" s="4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13"/>
      <c r="J804" s="13"/>
      <c r="K804" s="14"/>
      <c r="L804" s="13"/>
      <c r="M804" s="4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13"/>
      <c r="J805" s="13"/>
      <c r="K805" s="14"/>
      <c r="L805" s="13"/>
      <c r="M805" s="4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13"/>
      <c r="J806" s="13"/>
      <c r="K806" s="14"/>
      <c r="L806" s="13"/>
      <c r="M806" s="4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13"/>
      <c r="J807" s="13"/>
      <c r="K807" s="14"/>
      <c r="L807" s="13"/>
      <c r="M807" s="4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13"/>
      <c r="J808" s="13"/>
      <c r="K808" s="14"/>
      <c r="L808" s="13"/>
      <c r="M808" s="4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13"/>
      <c r="J809" s="13"/>
      <c r="K809" s="14"/>
      <c r="L809" s="13"/>
      <c r="M809" s="4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13"/>
      <c r="J810" s="13"/>
      <c r="K810" s="14"/>
      <c r="L810" s="13"/>
      <c r="M810" s="4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13"/>
      <c r="J811" s="13"/>
      <c r="K811" s="14"/>
      <c r="L811" s="13"/>
      <c r="M811" s="4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13"/>
      <c r="J812" s="13"/>
      <c r="K812" s="14"/>
      <c r="L812" s="13"/>
      <c r="M812" s="4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13"/>
      <c r="J813" s="13"/>
      <c r="K813" s="14"/>
      <c r="L813" s="13"/>
      <c r="M813" s="4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13"/>
      <c r="J814" s="13"/>
      <c r="K814" s="14"/>
      <c r="L814" s="13"/>
      <c r="M814" s="4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13"/>
      <c r="J815" s="13"/>
      <c r="K815" s="14"/>
      <c r="L815" s="13"/>
      <c r="M815" s="4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13"/>
      <c r="J816" s="13"/>
      <c r="K816" s="14"/>
      <c r="L816" s="13"/>
      <c r="M816" s="4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13"/>
      <c r="J817" s="13"/>
      <c r="K817" s="14"/>
      <c r="L817" s="13"/>
      <c r="M817" s="4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13"/>
      <c r="J818" s="13"/>
      <c r="K818" s="14"/>
      <c r="L818" s="13"/>
      <c r="M818" s="4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13"/>
      <c r="J819" s="13"/>
      <c r="K819" s="14"/>
      <c r="L819" s="13"/>
      <c r="M819" s="4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13"/>
      <c r="J820" s="13"/>
      <c r="K820" s="14"/>
      <c r="L820" s="13"/>
      <c r="M820" s="4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13"/>
      <c r="J821" s="13"/>
      <c r="K821" s="14"/>
      <c r="L821" s="13"/>
      <c r="M821" s="4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13"/>
      <c r="J822" s="13"/>
      <c r="K822" s="14"/>
      <c r="L822" s="13"/>
      <c r="M822" s="4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13"/>
      <c r="J823" s="13"/>
      <c r="K823" s="14"/>
      <c r="L823" s="13"/>
      <c r="M823" s="4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13"/>
      <c r="J824" s="13"/>
      <c r="K824" s="14"/>
      <c r="L824" s="13"/>
      <c r="M824" s="4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13"/>
      <c r="J825" s="13"/>
      <c r="K825" s="14"/>
      <c r="L825" s="13"/>
      <c r="M825" s="4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13"/>
      <c r="J826" s="13"/>
      <c r="K826" s="14"/>
      <c r="L826" s="13"/>
      <c r="M826" s="4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13"/>
      <c r="J827" s="13"/>
      <c r="K827" s="14"/>
      <c r="L827" s="13"/>
      <c r="M827" s="4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13"/>
      <c r="J828" s="13"/>
      <c r="K828" s="14"/>
      <c r="L828" s="13"/>
      <c r="M828" s="4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13"/>
      <c r="J829" s="13"/>
      <c r="K829" s="14"/>
      <c r="L829" s="13"/>
      <c r="M829" s="4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13"/>
      <c r="J830" s="13"/>
      <c r="K830" s="14"/>
      <c r="L830" s="13"/>
      <c r="M830" s="4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13"/>
      <c r="J831" s="13"/>
      <c r="K831" s="14"/>
      <c r="L831" s="13"/>
      <c r="M831" s="4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13"/>
      <c r="J832" s="13"/>
      <c r="K832" s="14"/>
      <c r="L832" s="13"/>
      <c r="M832" s="4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13"/>
      <c r="J833" s="13"/>
      <c r="K833" s="14"/>
      <c r="L833" s="13"/>
      <c r="M833" s="4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13"/>
      <c r="J834" s="13"/>
      <c r="K834" s="14"/>
      <c r="L834" s="13"/>
      <c r="M834" s="4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13"/>
      <c r="J835" s="13"/>
      <c r="K835" s="14"/>
      <c r="L835" s="13"/>
      <c r="M835" s="4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13"/>
      <c r="J836" s="13"/>
      <c r="K836" s="14"/>
      <c r="L836" s="13"/>
      <c r="M836" s="4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13"/>
      <c r="J837" s="13"/>
      <c r="K837" s="14"/>
      <c r="L837" s="13"/>
      <c r="M837" s="4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13"/>
      <c r="J838" s="13"/>
      <c r="K838" s="14"/>
      <c r="L838" s="13"/>
      <c r="M838" s="4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13"/>
      <c r="J839" s="13"/>
      <c r="K839" s="14"/>
      <c r="L839" s="13"/>
      <c r="M839" s="4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13"/>
      <c r="J840" s="13"/>
      <c r="K840" s="14"/>
      <c r="L840" s="13"/>
      <c r="M840" s="4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13"/>
      <c r="J841" s="13"/>
      <c r="K841" s="14"/>
      <c r="L841" s="13"/>
      <c r="M841" s="4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13"/>
      <c r="J842" s="13"/>
      <c r="K842" s="14"/>
      <c r="L842" s="13"/>
      <c r="M842" s="4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13"/>
      <c r="J843" s="13"/>
      <c r="K843" s="14"/>
      <c r="L843" s="13"/>
      <c r="M843" s="4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13"/>
      <c r="J844" s="13"/>
      <c r="K844" s="14"/>
      <c r="L844" s="13"/>
      <c r="M844" s="4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13"/>
      <c r="J845" s="13"/>
      <c r="K845" s="14"/>
      <c r="L845" s="13"/>
      <c r="M845" s="4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13"/>
      <c r="J846" s="13"/>
      <c r="K846" s="14"/>
      <c r="L846" s="13"/>
      <c r="M846" s="4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13"/>
      <c r="J847" s="13"/>
      <c r="K847" s="14"/>
      <c r="L847" s="13"/>
      <c r="M847" s="4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13"/>
      <c r="J848" s="13"/>
      <c r="K848" s="14"/>
      <c r="L848" s="13"/>
      <c r="M848" s="4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13"/>
      <c r="J849" s="13"/>
      <c r="K849" s="14"/>
      <c r="L849" s="13"/>
      <c r="M849" s="4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13"/>
      <c r="J850" s="13"/>
      <c r="K850" s="14"/>
      <c r="L850" s="13"/>
      <c r="M850" s="4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13"/>
      <c r="J851" s="13"/>
      <c r="K851" s="14"/>
      <c r="L851" s="13"/>
      <c r="M851" s="4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13"/>
      <c r="J852" s="13"/>
      <c r="K852" s="14"/>
      <c r="L852" s="13"/>
      <c r="M852" s="4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13"/>
      <c r="J853" s="13"/>
      <c r="K853" s="14"/>
      <c r="L853" s="13"/>
      <c r="M853" s="4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13"/>
      <c r="J854" s="13"/>
      <c r="K854" s="14"/>
      <c r="L854" s="13"/>
      <c r="M854" s="4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13"/>
      <c r="J855" s="13"/>
      <c r="K855" s="14"/>
      <c r="L855" s="13"/>
      <c r="M855" s="4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13"/>
      <c r="J856" s="13"/>
      <c r="K856" s="14"/>
      <c r="L856" s="13"/>
      <c r="M856" s="4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13"/>
      <c r="J857" s="13"/>
      <c r="K857" s="14"/>
      <c r="L857" s="13"/>
      <c r="M857" s="4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13"/>
      <c r="J858" s="13"/>
      <c r="K858" s="14"/>
      <c r="L858" s="13"/>
      <c r="M858" s="4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13"/>
      <c r="J859" s="13"/>
      <c r="K859" s="14"/>
      <c r="L859" s="13"/>
      <c r="M859" s="4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13"/>
      <c r="J860" s="13"/>
      <c r="K860" s="14"/>
      <c r="L860" s="13"/>
      <c r="M860" s="4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13"/>
      <c r="J861" s="13"/>
      <c r="K861" s="14"/>
      <c r="L861" s="13"/>
      <c r="M861" s="4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13"/>
      <c r="J862" s="13"/>
      <c r="K862" s="14"/>
      <c r="L862" s="13"/>
      <c r="M862" s="4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13"/>
      <c r="J863" s="13"/>
      <c r="K863" s="14"/>
      <c r="L863" s="13"/>
      <c r="M863" s="4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13"/>
      <c r="J864" s="13"/>
      <c r="K864" s="14"/>
      <c r="L864" s="13"/>
      <c r="M864" s="4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13"/>
      <c r="J865" s="13"/>
      <c r="K865" s="14"/>
      <c r="L865" s="13"/>
      <c r="M865" s="4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13"/>
      <c r="J866" s="13"/>
      <c r="K866" s="14"/>
      <c r="L866" s="13"/>
      <c r="M866" s="4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13"/>
      <c r="J867" s="13"/>
      <c r="K867" s="14"/>
      <c r="L867" s="13"/>
      <c r="M867" s="4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13"/>
      <c r="J868" s="13"/>
      <c r="K868" s="14"/>
      <c r="L868" s="13"/>
      <c r="M868" s="4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13"/>
      <c r="J869" s="13"/>
      <c r="K869" s="14"/>
      <c r="L869" s="13"/>
      <c r="M869" s="4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13"/>
      <c r="J870" s="13"/>
      <c r="K870" s="14"/>
      <c r="L870" s="13"/>
      <c r="M870" s="4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13"/>
      <c r="J871" s="13"/>
      <c r="K871" s="14"/>
      <c r="L871" s="13"/>
      <c r="M871" s="4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13"/>
      <c r="J872" s="13"/>
      <c r="K872" s="14"/>
      <c r="L872" s="13"/>
      <c r="M872" s="4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13"/>
      <c r="J873" s="13"/>
      <c r="K873" s="14"/>
      <c r="L873" s="13"/>
      <c r="M873" s="4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13"/>
      <c r="J874" s="13"/>
      <c r="K874" s="14"/>
      <c r="L874" s="13"/>
      <c r="M874" s="4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13"/>
      <c r="J875" s="13"/>
      <c r="K875" s="14"/>
      <c r="L875" s="13"/>
      <c r="M875" s="4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13"/>
      <c r="J876" s="13"/>
      <c r="K876" s="14"/>
      <c r="L876" s="13"/>
      <c r="M876" s="4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13"/>
      <c r="J877" s="13"/>
      <c r="K877" s="14"/>
      <c r="L877" s="13"/>
      <c r="M877" s="4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13"/>
      <c r="J878" s="13"/>
      <c r="K878" s="14"/>
      <c r="L878" s="13"/>
      <c r="M878" s="4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13"/>
      <c r="J879" s="13"/>
      <c r="K879" s="14"/>
      <c r="L879" s="13"/>
      <c r="M879" s="4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13"/>
      <c r="J880" s="13"/>
      <c r="K880" s="14"/>
      <c r="L880" s="13"/>
      <c r="M880" s="4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13"/>
      <c r="J881" s="13"/>
      <c r="K881" s="14"/>
      <c r="L881" s="13"/>
      <c r="M881" s="4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13"/>
      <c r="J882" s="13"/>
      <c r="K882" s="14"/>
      <c r="L882" s="13"/>
      <c r="M882" s="4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13"/>
      <c r="J883" s="13"/>
      <c r="K883" s="14"/>
      <c r="L883" s="13"/>
      <c r="M883" s="4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13"/>
      <c r="J884" s="13"/>
      <c r="K884" s="14"/>
      <c r="L884" s="13"/>
      <c r="M884" s="4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13"/>
      <c r="J885" s="13"/>
      <c r="K885" s="14"/>
      <c r="L885" s="13"/>
      <c r="M885" s="4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13"/>
      <c r="J886" s="13"/>
      <c r="K886" s="14"/>
      <c r="L886" s="13"/>
      <c r="M886" s="4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13"/>
      <c r="J887" s="13"/>
      <c r="K887" s="14"/>
      <c r="L887" s="13"/>
      <c r="M887" s="4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13"/>
      <c r="J888" s="13"/>
      <c r="K888" s="14"/>
      <c r="L888" s="13"/>
      <c r="M888" s="4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13"/>
      <c r="J889" s="13"/>
      <c r="K889" s="14"/>
      <c r="L889" s="13"/>
      <c r="M889" s="4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13"/>
      <c r="J890" s="13"/>
      <c r="K890" s="14"/>
      <c r="L890" s="13"/>
      <c r="M890" s="4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13"/>
      <c r="J891" s="13"/>
      <c r="K891" s="14"/>
      <c r="L891" s="13"/>
      <c r="M891" s="4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13"/>
      <c r="J892" s="13"/>
      <c r="K892" s="14"/>
      <c r="L892" s="13"/>
      <c r="M892" s="4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13"/>
      <c r="J893" s="13"/>
      <c r="K893" s="14"/>
      <c r="L893" s="13"/>
      <c r="M893" s="4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13"/>
      <c r="J894" s="13"/>
      <c r="K894" s="14"/>
      <c r="L894" s="13"/>
      <c r="M894" s="4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13"/>
      <c r="J895" s="13"/>
      <c r="K895" s="14"/>
      <c r="L895" s="13"/>
      <c r="M895" s="4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13"/>
      <c r="J896" s="13"/>
      <c r="K896" s="14"/>
      <c r="L896" s="13"/>
      <c r="M896" s="4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13"/>
      <c r="J897" s="13"/>
      <c r="K897" s="14"/>
      <c r="L897" s="13"/>
      <c r="M897" s="4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13"/>
      <c r="J898" s="13"/>
      <c r="K898" s="14"/>
      <c r="L898" s="13"/>
      <c r="M898" s="4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13"/>
      <c r="J899" s="13"/>
      <c r="K899" s="14"/>
      <c r="L899" s="13"/>
      <c r="M899" s="4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13"/>
      <c r="J900" s="13"/>
      <c r="K900" s="14"/>
      <c r="L900" s="13"/>
      <c r="M900" s="4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13"/>
      <c r="J901" s="13"/>
      <c r="K901" s="14"/>
      <c r="L901" s="13"/>
      <c r="M901" s="4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13"/>
      <c r="J902" s="13"/>
      <c r="K902" s="14"/>
      <c r="L902" s="13"/>
      <c r="M902" s="4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13"/>
      <c r="J903" s="13"/>
      <c r="K903" s="14"/>
      <c r="L903" s="13"/>
      <c r="M903" s="4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13"/>
      <c r="J904" s="13"/>
      <c r="K904" s="14"/>
      <c r="L904" s="13"/>
      <c r="M904" s="4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13"/>
      <c r="J905" s="13"/>
      <c r="K905" s="14"/>
      <c r="L905" s="13"/>
      <c r="M905" s="4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13"/>
      <c r="J906" s="13"/>
      <c r="K906" s="14"/>
      <c r="L906" s="13"/>
      <c r="M906" s="4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13"/>
      <c r="J907" s="13"/>
      <c r="K907" s="14"/>
      <c r="L907" s="13"/>
      <c r="M907" s="4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13"/>
      <c r="J908" s="13"/>
      <c r="K908" s="14"/>
      <c r="L908" s="13"/>
      <c r="M908" s="4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13"/>
      <c r="J909" s="13"/>
      <c r="K909" s="14"/>
      <c r="L909" s="13"/>
      <c r="M909" s="4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13"/>
      <c r="J910" s="13"/>
      <c r="K910" s="14"/>
      <c r="L910" s="13"/>
      <c r="M910" s="4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13"/>
      <c r="J911" s="13"/>
      <c r="K911" s="14"/>
      <c r="L911" s="13"/>
      <c r="M911" s="4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13"/>
      <c r="J912" s="13"/>
      <c r="K912" s="14"/>
      <c r="L912" s="13"/>
      <c r="M912" s="4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13"/>
      <c r="J913" s="13"/>
      <c r="K913" s="14"/>
      <c r="L913" s="13"/>
      <c r="M913" s="4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13"/>
      <c r="J914" s="13"/>
      <c r="K914" s="14"/>
      <c r="L914" s="13"/>
      <c r="M914" s="4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13"/>
      <c r="J915" s="13"/>
      <c r="K915" s="14"/>
      <c r="L915" s="13"/>
      <c r="M915" s="4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13"/>
      <c r="J916" s="13"/>
      <c r="K916" s="14"/>
      <c r="L916" s="13"/>
      <c r="M916" s="4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13"/>
      <c r="J917" s="13"/>
      <c r="K917" s="14"/>
      <c r="L917" s="13"/>
      <c r="M917" s="4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13"/>
      <c r="J918" s="13"/>
      <c r="K918" s="14"/>
      <c r="L918" s="13"/>
      <c r="M918" s="4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13"/>
      <c r="J919" s="13"/>
      <c r="K919" s="14"/>
      <c r="L919" s="13"/>
      <c r="M919" s="4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13"/>
      <c r="J920" s="13"/>
      <c r="K920" s="14"/>
      <c r="L920" s="13"/>
      <c r="M920" s="4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13"/>
      <c r="J921" s="13"/>
      <c r="K921" s="14"/>
      <c r="L921" s="13"/>
      <c r="M921" s="4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13"/>
      <c r="J922" s="13"/>
      <c r="K922" s="14"/>
      <c r="L922" s="13"/>
      <c r="M922" s="4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13"/>
      <c r="J923" s="13"/>
      <c r="K923" s="14"/>
      <c r="L923" s="13"/>
      <c r="M923" s="4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13"/>
      <c r="J924" s="13"/>
      <c r="K924" s="14"/>
      <c r="L924" s="13"/>
      <c r="M924" s="4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13"/>
      <c r="J925" s="13"/>
      <c r="K925" s="14"/>
      <c r="L925" s="13"/>
      <c r="M925" s="4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13"/>
      <c r="J926" s="13"/>
      <c r="K926" s="14"/>
      <c r="L926" s="13"/>
      <c r="M926" s="4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13"/>
      <c r="J927" s="13"/>
      <c r="K927" s="14"/>
      <c r="L927" s="13"/>
      <c r="M927" s="4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13"/>
      <c r="J928" s="13"/>
      <c r="K928" s="14"/>
      <c r="L928" s="13"/>
      <c r="M928" s="4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13"/>
      <c r="J929" s="13"/>
      <c r="K929" s="14"/>
      <c r="L929" s="13"/>
      <c r="M929" s="4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13"/>
      <c r="J930" s="13"/>
      <c r="K930" s="14"/>
      <c r="L930" s="13"/>
      <c r="M930" s="4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13"/>
      <c r="J931" s="13"/>
      <c r="K931" s="14"/>
      <c r="L931" s="13"/>
      <c r="M931" s="4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13"/>
      <c r="J932" s="13"/>
      <c r="K932" s="14"/>
      <c r="L932" s="13"/>
      <c r="M932" s="4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13"/>
      <c r="J933" s="13"/>
      <c r="K933" s="14"/>
      <c r="L933" s="13"/>
      <c r="M933" s="4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13"/>
      <c r="J934" s="13"/>
      <c r="K934" s="14"/>
      <c r="L934" s="13"/>
      <c r="M934" s="4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13"/>
      <c r="J935" s="13"/>
      <c r="K935" s="14"/>
      <c r="L935" s="13"/>
      <c r="M935" s="4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13"/>
      <c r="J936" s="13"/>
      <c r="K936" s="14"/>
      <c r="L936" s="13"/>
      <c r="M936" s="4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13"/>
      <c r="J937" s="13"/>
      <c r="K937" s="14"/>
      <c r="L937" s="13"/>
      <c r="M937" s="4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13"/>
      <c r="J938" s="13"/>
      <c r="K938" s="14"/>
      <c r="L938" s="13"/>
      <c r="M938" s="4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13"/>
      <c r="J939" s="13"/>
      <c r="K939" s="14"/>
      <c r="L939" s="13"/>
      <c r="M939" s="4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13"/>
      <c r="J940" s="13"/>
      <c r="K940" s="14"/>
      <c r="L940" s="13"/>
      <c r="M940" s="4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13"/>
      <c r="J941" s="13"/>
      <c r="K941" s="14"/>
      <c r="L941" s="13"/>
      <c r="M941" s="4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13"/>
      <c r="J942" s="13"/>
      <c r="K942" s="14"/>
      <c r="L942" s="13"/>
      <c r="M942" s="4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13"/>
      <c r="J943" s="13"/>
      <c r="K943" s="14"/>
      <c r="L943" s="13"/>
      <c r="M943" s="4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13"/>
      <c r="J944" s="13"/>
      <c r="K944" s="14"/>
      <c r="L944" s="13"/>
      <c r="M944" s="4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13"/>
      <c r="J945" s="13"/>
      <c r="K945" s="14"/>
      <c r="L945" s="13"/>
      <c r="M945" s="4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13"/>
      <c r="J946" s="13"/>
      <c r="K946" s="14"/>
      <c r="L946" s="13"/>
      <c r="M946" s="4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13"/>
      <c r="J947" s="13"/>
      <c r="K947" s="14"/>
      <c r="L947" s="13"/>
      <c r="M947" s="4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13"/>
      <c r="J948" s="13"/>
      <c r="K948" s="14"/>
      <c r="L948" s="13"/>
      <c r="M948" s="4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13"/>
      <c r="J949" s="13"/>
      <c r="K949" s="14"/>
      <c r="L949" s="13"/>
      <c r="M949" s="4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13"/>
      <c r="J950" s="13"/>
      <c r="K950" s="14"/>
      <c r="L950" s="13"/>
      <c r="M950" s="4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13"/>
      <c r="J951" s="13"/>
      <c r="K951" s="14"/>
      <c r="L951" s="13"/>
      <c r="M951" s="4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13"/>
      <c r="J952" s="13"/>
      <c r="K952" s="14"/>
      <c r="L952" s="13"/>
      <c r="M952" s="4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13"/>
      <c r="J953" s="13"/>
      <c r="K953" s="14"/>
      <c r="L953" s="13"/>
      <c r="M953" s="4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13"/>
      <c r="J954" s="13"/>
      <c r="K954" s="14"/>
      <c r="L954" s="13"/>
      <c r="M954" s="4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13"/>
      <c r="J955" s="13"/>
      <c r="K955" s="14"/>
      <c r="L955" s="13"/>
      <c r="M955" s="4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13"/>
      <c r="J956" s="13"/>
      <c r="K956" s="14"/>
      <c r="L956" s="13"/>
      <c r="M956" s="4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13"/>
      <c r="J957" s="13"/>
      <c r="K957" s="14"/>
      <c r="L957" s="13"/>
      <c r="M957" s="4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13"/>
      <c r="J958" s="13"/>
      <c r="K958" s="14"/>
      <c r="L958" s="13"/>
      <c r="M958" s="4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13"/>
      <c r="J959" s="13"/>
      <c r="K959" s="14"/>
      <c r="L959" s="13"/>
      <c r="M959" s="4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13"/>
      <c r="J960" s="13"/>
      <c r="K960" s="14"/>
      <c r="L960" s="13"/>
      <c r="M960" s="4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13"/>
      <c r="J961" s="13"/>
      <c r="K961" s="14"/>
      <c r="L961" s="13"/>
      <c r="M961" s="4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13"/>
      <c r="J962" s="13"/>
      <c r="K962" s="14"/>
      <c r="L962" s="13"/>
      <c r="M962" s="4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13"/>
      <c r="J963" s="13"/>
      <c r="K963" s="14"/>
      <c r="L963" s="13"/>
      <c r="M963" s="4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13"/>
      <c r="J964" s="13"/>
      <c r="K964" s="14"/>
      <c r="L964" s="13"/>
      <c r="M964" s="4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13"/>
      <c r="J965" s="13"/>
      <c r="K965" s="14"/>
      <c r="L965" s="13"/>
      <c r="M965" s="4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13"/>
      <c r="J966" s="13"/>
      <c r="K966" s="14"/>
      <c r="L966" s="13"/>
      <c r="M966" s="4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13"/>
      <c r="J967" s="13"/>
      <c r="K967" s="14"/>
      <c r="L967" s="13"/>
      <c r="M967" s="4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13"/>
      <c r="J968" s="13"/>
      <c r="K968" s="14"/>
      <c r="L968" s="13"/>
      <c r="M968" s="4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13"/>
      <c r="J969" s="13"/>
      <c r="K969" s="14"/>
      <c r="L969" s="13"/>
      <c r="M969" s="4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13"/>
      <c r="J970" s="13"/>
      <c r="K970" s="14"/>
      <c r="L970" s="13"/>
      <c r="M970" s="4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13"/>
      <c r="J971" s="13"/>
      <c r="K971" s="14"/>
      <c r="L971" s="13"/>
      <c r="M971" s="4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13"/>
      <c r="J972" s="13"/>
      <c r="K972" s="14"/>
      <c r="L972" s="13"/>
      <c r="M972" s="4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13"/>
      <c r="J973" s="13"/>
      <c r="K973" s="14"/>
      <c r="L973" s="13"/>
      <c r="M973" s="4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13"/>
      <c r="J974" s="13"/>
      <c r="K974" s="14"/>
      <c r="L974" s="13"/>
      <c r="M974" s="4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13"/>
      <c r="J975" s="13"/>
      <c r="K975" s="14"/>
      <c r="L975" s="13"/>
      <c r="M975" s="4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13"/>
      <c r="J976" s="13"/>
      <c r="K976" s="14"/>
      <c r="L976" s="13"/>
      <c r="M976" s="4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13"/>
      <c r="J977" s="13"/>
      <c r="K977" s="14"/>
      <c r="L977" s="13"/>
      <c r="M977" s="4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13"/>
      <c r="J978" s="13"/>
      <c r="K978" s="14"/>
      <c r="L978" s="13"/>
      <c r="M978" s="4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13"/>
      <c r="J979" s="13"/>
      <c r="K979" s="14"/>
      <c r="L979" s="13"/>
      <c r="M979" s="4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13"/>
      <c r="J980" s="13"/>
      <c r="K980" s="14"/>
      <c r="L980" s="13"/>
      <c r="M980" s="4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13"/>
      <c r="J981" s="13"/>
      <c r="K981" s="14"/>
      <c r="L981" s="13"/>
      <c r="M981" s="4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13"/>
      <c r="J982" s="13"/>
      <c r="K982" s="14"/>
      <c r="L982" s="13"/>
      <c r="M982" s="4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13"/>
      <c r="J983" s="13"/>
      <c r="K983" s="14"/>
      <c r="L983" s="13"/>
      <c r="M983" s="4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13"/>
      <c r="J984" s="13"/>
      <c r="K984" s="14"/>
      <c r="L984" s="13"/>
      <c r="M984" s="4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13"/>
      <c r="J985" s="13"/>
      <c r="K985" s="14"/>
      <c r="L985" s="13"/>
      <c r="M985" s="4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13"/>
      <c r="J986" s="13"/>
      <c r="K986" s="14"/>
      <c r="L986" s="13"/>
      <c r="M986" s="4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13"/>
      <c r="J987" s="13"/>
      <c r="K987" s="14"/>
      <c r="L987" s="13"/>
      <c r="M987" s="4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13"/>
      <c r="J988" s="13"/>
      <c r="K988" s="14"/>
      <c r="L988" s="13"/>
      <c r="M988" s="4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13"/>
      <c r="J989" s="13"/>
      <c r="K989" s="14"/>
      <c r="L989" s="13"/>
      <c r="M989" s="4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13"/>
      <c r="J990" s="13"/>
      <c r="K990" s="14"/>
      <c r="L990" s="13"/>
      <c r="M990" s="4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13"/>
      <c r="J991" s="13"/>
      <c r="K991" s="14"/>
      <c r="L991" s="13"/>
      <c r="M991" s="4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13"/>
      <c r="J992" s="13"/>
      <c r="K992" s="14"/>
      <c r="L992" s="13"/>
      <c r="M992" s="4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13"/>
      <c r="J993" s="13"/>
      <c r="K993" s="14"/>
      <c r="L993" s="13"/>
      <c r="M993" s="4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13"/>
      <c r="J994" s="13"/>
      <c r="K994" s="14"/>
      <c r="L994" s="13"/>
      <c r="M994" s="4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13"/>
      <c r="J995" s="13"/>
      <c r="K995" s="14"/>
      <c r="L995" s="13"/>
      <c r="M995" s="4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13"/>
      <c r="J996" s="13"/>
      <c r="K996" s="14"/>
      <c r="L996" s="13"/>
      <c r="M996" s="4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13"/>
      <c r="J997" s="13"/>
      <c r="K997" s="14"/>
      <c r="L997" s="13"/>
      <c r="M997" s="4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13"/>
      <c r="J998" s="13"/>
      <c r="K998" s="14"/>
      <c r="L998" s="13"/>
      <c r="M998" s="4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L7">
    <cfRule type="colorScale" priority="4">
      <colorScale>
        <cfvo type="min"/>
        <cfvo type="max"/>
        <color rgb="FF57BB8A"/>
        <color rgb="FFFFFFFF"/>
      </colorScale>
    </cfRule>
  </conditionalFormatting>
  <conditionalFormatting sqref="K6">
    <cfRule type="colorScale" priority="6">
      <colorScale>
        <cfvo type="min"/>
        <cfvo type="max"/>
        <color rgb="FFFFFFFF"/>
        <color rgb="FF57BB8A"/>
      </colorScale>
    </cfRule>
  </conditionalFormatting>
  <conditionalFormatting sqref="L6:L12">
    <cfRule type="colorScale" priority="7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3:L17" xr:uid="{00000000-0002-0000-0000-000003000000}">
      <formula1>#REF!</formula1>
    </dataValidation>
    <dataValidation type="list" allowBlank="1" showErrorMessage="1" sqref="L6:L12" xr:uid="{00000000-0002-0000-0000-000000000000}">
      <formula1>$L$27:$L$30</formula1>
    </dataValidation>
    <dataValidation type="list" allowBlank="1" showErrorMessage="1" sqref="K6:K12" xr:uid="{00000000-0002-0000-0000-000001000000}">
      <formula1>$K$27:$K$29</formula1>
    </dataValidation>
    <dataValidation type="custom" allowBlank="1" showDropDown="1" sqref="J6:J12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tabSelected="1" zoomScale="95" workbookViewId="0">
      <selection activeCell="L157" sqref="L157"/>
    </sheetView>
  </sheetViews>
  <sheetFormatPr baseColWidth="10" defaultColWidth="12.59765625" defaultRowHeight="15" customHeight="1" x14ac:dyDescent="0.25"/>
  <cols>
    <col min="1" max="1" width="9.3984375" customWidth="1"/>
    <col min="2" max="2" width="2.59765625" customWidth="1"/>
    <col min="3" max="15" width="10.59765625" customWidth="1"/>
    <col min="16" max="16" width="2.59765625" customWidth="1"/>
    <col min="17" max="26" width="9.3984375" customWidth="1"/>
  </cols>
  <sheetData>
    <row r="2" spans="1:26" ht="15" hidden="1" customHeight="1" x14ac:dyDescent="0.25"/>
    <row r="3" spans="1:26" ht="15" hidden="1" customHeight="1" x14ac:dyDescent="0.25"/>
    <row r="4" spans="1:26" ht="14.4" hidden="1" x14ac:dyDescent="0.3">
      <c r="C4" s="16"/>
      <c r="D4" s="16"/>
      <c r="E4" s="16"/>
      <c r="F4" s="17"/>
    </row>
    <row r="5" spans="1:26" ht="14.4" hidden="1" x14ac:dyDescent="0.3">
      <c r="C5" s="16"/>
      <c r="D5" s="16"/>
      <c r="E5" s="16"/>
      <c r="F5" s="17"/>
    </row>
    <row r="6" spans="1:26" ht="39.75" customHeight="1" x14ac:dyDescent="0.25">
      <c r="B6" s="47" t="s">
        <v>20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3"/>
    </row>
    <row r="7" spans="1:26" ht="9.75" customHeight="1" x14ac:dyDescent="0.25">
      <c r="A7" s="18"/>
      <c r="B7" s="18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9.75" customHeight="1" x14ac:dyDescent="0.3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  <c r="Q8" s="18"/>
    </row>
    <row r="9" spans="1:26" ht="30" customHeight="1" x14ac:dyDescent="0.25">
      <c r="B9" s="25"/>
      <c r="C9" s="26" t="s">
        <v>1</v>
      </c>
      <c r="D9" s="27"/>
      <c r="E9" s="48" t="s">
        <v>21</v>
      </c>
      <c r="F9" s="43"/>
      <c r="G9" s="27"/>
      <c r="H9" s="48" t="s">
        <v>8</v>
      </c>
      <c r="I9" s="43"/>
      <c r="J9" s="28"/>
      <c r="K9" s="28"/>
      <c r="L9" s="28"/>
      <c r="M9" s="28"/>
      <c r="N9" s="28"/>
      <c r="O9" s="28"/>
      <c r="P9" s="29"/>
      <c r="Q9" s="18"/>
    </row>
    <row r="10" spans="1:26" ht="30" customHeight="1" x14ac:dyDescent="0.25">
      <c r="B10" s="25"/>
      <c r="C10" s="30" t="s">
        <v>11</v>
      </c>
      <c r="D10" s="31"/>
      <c r="E10" s="49" t="str">
        <f>VLOOKUP(C10,'Formato descripción HU'!B6:O17,5,0)</f>
        <v>Usuario</v>
      </c>
      <c r="F10" s="43"/>
      <c r="G10" s="32"/>
      <c r="H10" s="49" t="str">
        <f>VLOOKUP(C10,'Formato descripción HU'!B6:O17,11,0)</f>
        <v>Finalizado</v>
      </c>
      <c r="I10" s="43"/>
      <c r="J10" s="32"/>
      <c r="K10" s="28"/>
      <c r="L10" s="28"/>
      <c r="M10" s="28"/>
      <c r="N10" s="28"/>
      <c r="O10" s="28"/>
      <c r="P10" s="29"/>
      <c r="Q10" s="18"/>
    </row>
    <row r="11" spans="1:26" ht="9.75" customHeight="1" x14ac:dyDescent="0.25">
      <c r="A11" s="18"/>
      <c r="B11" s="25"/>
      <c r="C11" s="33"/>
      <c r="D11" s="31"/>
      <c r="E11" s="34"/>
      <c r="F11" s="34"/>
      <c r="G11" s="32"/>
      <c r="H11" s="34"/>
      <c r="I11" s="34"/>
      <c r="J11" s="32"/>
      <c r="K11" s="34"/>
      <c r="L11" s="34"/>
      <c r="M11" s="28"/>
      <c r="N11" s="34"/>
      <c r="O11" s="34"/>
      <c r="P11" s="29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30" customHeight="1" x14ac:dyDescent="0.25">
      <c r="A12" s="18"/>
      <c r="B12" s="25"/>
      <c r="C12" s="26" t="s">
        <v>22</v>
      </c>
      <c r="D12" s="31"/>
      <c r="E12" s="48" t="s">
        <v>7</v>
      </c>
      <c r="F12" s="43"/>
      <c r="G12" s="32"/>
      <c r="H12" s="48" t="s">
        <v>23</v>
      </c>
      <c r="I12" s="43"/>
      <c r="J12" s="32"/>
      <c r="K12" s="34"/>
      <c r="L12" s="34"/>
      <c r="M12" s="28"/>
      <c r="N12" s="34"/>
      <c r="O12" s="34"/>
      <c r="P12" s="29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30" customHeight="1" x14ac:dyDescent="0.25">
      <c r="A13" s="18"/>
      <c r="B13" s="25"/>
      <c r="C13" s="30">
        <f>VLOOKUP('Historia de Usuario'!C10,'Formato descripción HU'!B6:O17,8,0)</f>
        <v>9</v>
      </c>
      <c r="D13" s="31"/>
      <c r="E13" s="49" t="str">
        <f>VLOOKUP(C10,'Formato descripción HU'!B6:O17,10,0)</f>
        <v>Alta</v>
      </c>
      <c r="F13" s="43"/>
      <c r="G13" s="32"/>
      <c r="H13" s="49" t="str">
        <f>VLOOKUP(C10,'Formato descripción HU'!B6:O17,7,0)</f>
        <v>Steven Egas</v>
      </c>
      <c r="I13" s="43"/>
      <c r="J13" s="32"/>
      <c r="K13" s="34"/>
      <c r="L13" s="34"/>
      <c r="M13" s="28"/>
      <c r="N13" s="34"/>
      <c r="O13" s="34"/>
      <c r="P13" s="29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9.75" customHeight="1" x14ac:dyDescent="0.25">
      <c r="A14" s="18"/>
      <c r="B14" s="25"/>
      <c r="C14" s="28"/>
      <c r="D14" s="31"/>
      <c r="E14" s="28"/>
      <c r="F14" s="28"/>
      <c r="G14" s="32"/>
      <c r="H14" s="32"/>
      <c r="I14" s="28"/>
      <c r="J14" s="28"/>
      <c r="K14" s="28"/>
      <c r="L14" s="28"/>
      <c r="M14" s="28"/>
      <c r="N14" s="28"/>
      <c r="O14" s="28"/>
      <c r="P14" s="29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9.5" customHeight="1" x14ac:dyDescent="0.25">
      <c r="A15" s="18"/>
      <c r="B15" s="25"/>
      <c r="C15" s="56" t="s">
        <v>24</v>
      </c>
      <c r="D15" s="50" t="str">
        <f>VLOOKUP(C10,'Formato descripción HU'!B6:O17,3,0)</f>
        <v>El sistema deberá contar con una pantalla de inicio de sesión donde el usuario ingrese sus credenciales para acceder.</v>
      </c>
      <c r="E15" s="51"/>
      <c r="F15" s="35"/>
      <c r="G15" s="56" t="s">
        <v>25</v>
      </c>
      <c r="H15" s="50" t="str">
        <f>VLOOKUP(C10,'Formato descripción HU'!B6:O17,4,0)</f>
        <v>Para garantizar que solo los usuarios autorizados puedan acceder a las funcionalidades según su rol.</v>
      </c>
      <c r="I15" s="59"/>
      <c r="J15" s="51"/>
      <c r="K15" s="35"/>
      <c r="L15" s="56" t="s">
        <v>26</v>
      </c>
      <c r="M15" s="61" t="str">
        <f>VLOOKUP(C10,'Formato descripción HU'!B6:O17,6,0)</f>
        <v>REQ001-1: Maqueteo de la pantalla de inicio de sesión. (Steven Egas) – 1 hr
REQ001-2: Diseño del formulario de autenticación. (Alejandro Obando) – 2 hrs
REQ001-3: Implementación de validación de usuario y contraseña. (Juan Quimbiulco) – 2 hrs
REQ001-4: Desarrollo de mensajes de error para credenciales incorrectas. (Steven Egas) – 1 hr
REQ001-5: Implementación de control de intentos fallidos. (Alejandro Obando) – 2 hrs
REQ001-6: Desarrollo de cierre de sesión seguro. (Juan Quimbiulco) – 1 hr</v>
      </c>
      <c r="N15" s="59"/>
      <c r="O15" s="51"/>
      <c r="P15" s="29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25">
      <c r="A16" s="18"/>
      <c r="B16" s="25"/>
      <c r="C16" s="57"/>
      <c r="D16" s="52"/>
      <c r="E16" s="53"/>
      <c r="F16" s="35"/>
      <c r="G16" s="57"/>
      <c r="H16" s="52"/>
      <c r="I16" s="45"/>
      <c r="J16" s="53"/>
      <c r="K16" s="35"/>
      <c r="L16" s="57"/>
      <c r="M16" s="52"/>
      <c r="N16" s="45"/>
      <c r="O16" s="53"/>
      <c r="P16" s="29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19.5" customHeight="1" x14ac:dyDescent="0.25">
      <c r="A17" s="18"/>
      <c r="B17" s="25"/>
      <c r="C17" s="58"/>
      <c r="D17" s="54"/>
      <c r="E17" s="55"/>
      <c r="F17" s="35"/>
      <c r="G17" s="58"/>
      <c r="H17" s="54"/>
      <c r="I17" s="60"/>
      <c r="J17" s="55"/>
      <c r="K17" s="35"/>
      <c r="L17" s="58"/>
      <c r="M17" s="54"/>
      <c r="N17" s="60"/>
      <c r="O17" s="55"/>
      <c r="P17" s="29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9.75" customHeight="1" x14ac:dyDescent="0.25">
      <c r="A18" s="18"/>
      <c r="B18" s="25"/>
      <c r="C18" s="28"/>
      <c r="D18" s="28"/>
      <c r="E18" s="28"/>
      <c r="F18" s="28"/>
      <c r="G18" s="32"/>
      <c r="H18" s="32"/>
      <c r="I18" s="32"/>
      <c r="J18" s="28"/>
      <c r="K18" s="28"/>
      <c r="L18" s="28"/>
      <c r="M18" s="28"/>
      <c r="N18" s="28"/>
      <c r="O18" s="28"/>
      <c r="P18" s="29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9.5" customHeight="1" x14ac:dyDescent="0.25">
      <c r="B19" s="25"/>
      <c r="C19" s="68" t="s">
        <v>27</v>
      </c>
      <c r="D19" s="51"/>
      <c r="E19" s="62" t="str">
        <f>VLOOKUP(C10,'Formato descripción HU'!B6:O17,14,0)</f>
        <v>Iniciar Sesión</v>
      </c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29"/>
      <c r="Q19" s="18"/>
    </row>
    <row r="20" spans="1:26" ht="19.5" customHeight="1" x14ac:dyDescent="0.25">
      <c r="B20" s="25"/>
      <c r="C20" s="54"/>
      <c r="D20" s="55"/>
      <c r="E20" s="65"/>
      <c r="F20" s="66"/>
      <c r="G20" s="66"/>
      <c r="H20" s="66"/>
      <c r="I20" s="66"/>
      <c r="J20" s="66"/>
      <c r="K20" s="66"/>
      <c r="L20" s="66"/>
      <c r="M20" s="66"/>
      <c r="N20" s="66"/>
      <c r="O20" s="67"/>
      <c r="P20" s="29"/>
      <c r="Q20" s="18"/>
    </row>
    <row r="21" spans="1:26" ht="9.75" customHeight="1" x14ac:dyDescent="0.25">
      <c r="B21" s="2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  <c r="Q21" s="18"/>
    </row>
    <row r="22" spans="1:26" ht="19.5" customHeight="1" x14ac:dyDescent="0.25">
      <c r="A22" s="18"/>
      <c r="B22" s="25"/>
      <c r="C22" s="69" t="s">
        <v>28</v>
      </c>
      <c r="D22" s="51"/>
      <c r="E22" s="80" t="str">
        <f>VLOOKUP(C10,'Formato descripción HU'!B6:O17,12,0)</f>
        <v>El usuario ingresa credenciales válidas y accede al sistema. Con credenciales incorrectas se muestra mensaje de error. Tras 3 intentos fallidos se bloquea el acceso por 5 minutos.</v>
      </c>
      <c r="F22" s="81"/>
      <c r="G22" s="81"/>
      <c r="H22" s="82"/>
      <c r="I22" s="28"/>
      <c r="J22" s="69" t="s">
        <v>10</v>
      </c>
      <c r="K22" s="51"/>
      <c r="L22" s="50">
        <f>VLOOKUP(C10,'Formato descripción HU'!B6:O17,13,0)</f>
        <v>0</v>
      </c>
      <c r="M22" s="59"/>
      <c r="N22" s="59"/>
      <c r="O22" s="51"/>
      <c r="P22" s="29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9.5" customHeight="1" x14ac:dyDescent="0.25">
      <c r="A23" s="18"/>
      <c r="B23" s="25"/>
      <c r="C23" s="52"/>
      <c r="D23" s="53"/>
      <c r="E23" s="83"/>
      <c r="F23" s="84"/>
      <c r="G23" s="84"/>
      <c r="H23" s="85"/>
      <c r="I23" s="28"/>
      <c r="J23" s="52"/>
      <c r="K23" s="53"/>
      <c r="L23" s="52"/>
      <c r="M23" s="45"/>
      <c r="N23" s="45"/>
      <c r="O23" s="53"/>
      <c r="P23" s="29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9.5" customHeight="1" x14ac:dyDescent="0.25">
      <c r="A24" s="18"/>
      <c r="B24" s="25"/>
      <c r="C24" s="54"/>
      <c r="D24" s="55"/>
      <c r="E24" s="86"/>
      <c r="F24" s="87"/>
      <c r="G24" s="87"/>
      <c r="H24" s="88"/>
      <c r="I24" s="28"/>
      <c r="J24" s="54"/>
      <c r="K24" s="55"/>
      <c r="L24" s="54"/>
      <c r="M24" s="60"/>
      <c r="N24" s="60"/>
      <c r="O24" s="55"/>
      <c r="P24" s="29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9.75" customHeight="1" x14ac:dyDescent="0.25">
      <c r="A25" s="18"/>
      <c r="B25" s="36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9.5" customHeight="1" x14ac:dyDescent="0.3">
      <c r="C26" s="16"/>
      <c r="D26" s="16"/>
      <c r="E26" s="16"/>
      <c r="F26" s="17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1" x14ac:dyDescent="0.25">
      <c r="A27" s="18"/>
      <c r="B27" s="70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9.5" customHeight="1" x14ac:dyDescent="0.25">
      <c r="A28" s="18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9.5" customHeight="1" x14ac:dyDescent="0.25">
      <c r="B29" s="47" t="s">
        <v>20</v>
      </c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3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9.5" customHeight="1" x14ac:dyDescent="0.25">
      <c r="B30" s="18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9.5" customHeight="1" x14ac:dyDescent="0.3">
      <c r="A31" s="18"/>
      <c r="B31" s="20"/>
      <c r="C31" s="21"/>
      <c r="D31" s="21"/>
      <c r="E31" s="21"/>
      <c r="F31" s="22"/>
      <c r="G31" s="23"/>
      <c r="H31" s="23"/>
      <c r="I31" s="23"/>
      <c r="J31" s="23"/>
      <c r="K31" s="23"/>
      <c r="L31" s="23"/>
      <c r="M31" s="23"/>
      <c r="N31" s="23"/>
      <c r="O31" s="23"/>
      <c r="P31" s="24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9.5" customHeight="1" x14ac:dyDescent="0.25">
      <c r="A32" s="18"/>
      <c r="B32" s="25"/>
      <c r="C32" s="26" t="s">
        <v>1</v>
      </c>
      <c r="D32" s="27"/>
      <c r="E32" s="48" t="s">
        <v>21</v>
      </c>
      <c r="F32" s="43"/>
      <c r="G32" s="27"/>
      <c r="H32" s="48" t="s">
        <v>8</v>
      </c>
      <c r="I32" s="43"/>
      <c r="J32" s="28"/>
      <c r="K32" s="28"/>
      <c r="L32" s="28"/>
      <c r="M32" s="28"/>
      <c r="N32" s="28"/>
      <c r="O32" s="28"/>
      <c r="P32" s="29"/>
    </row>
    <row r="33" spans="1:16" ht="19.5" customHeight="1" x14ac:dyDescent="0.25">
      <c r="A33" s="18"/>
      <c r="B33" s="25"/>
      <c r="C33" s="30" t="s">
        <v>36</v>
      </c>
      <c r="D33" s="31"/>
      <c r="E33" s="49" t="str">
        <f>VLOOKUP(C33,'Formato descripción HU'!B7:O40,5,0)</f>
        <v>Transportista</v>
      </c>
      <c r="F33" s="43"/>
      <c r="G33" s="32"/>
      <c r="H33" s="49" t="str">
        <f>VLOOKUP(C33,'Formato descripción HU'!B7:O40,11,0)</f>
        <v>Finalizado</v>
      </c>
      <c r="I33" s="43"/>
      <c r="J33" s="32"/>
      <c r="K33" s="28"/>
      <c r="L33" s="28"/>
      <c r="M33" s="28"/>
      <c r="N33" s="28"/>
      <c r="O33" s="28"/>
      <c r="P33" s="29"/>
    </row>
    <row r="34" spans="1:16" ht="19.5" customHeight="1" x14ac:dyDescent="0.25">
      <c r="A34" s="18"/>
      <c r="B34" s="25"/>
      <c r="C34" s="33"/>
      <c r="D34" s="31"/>
      <c r="E34" s="34"/>
      <c r="F34" s="34"/>
      <c r="G34" s="32"/>
      <c r="H34" s="34"/>
      <c r="I34" s="34"/>
      <c r="J34" s="32"/>
      <c r="K34" s="34"/>
      <c r="L34" s="34"/>
      <c r="M34" s="28"/>
      <c r="N34" s="34"/>
      <c r="O34" s="34"/>
      <c r="P34" s="29"/>
    </row>
    <row r="35" spans="1:16" ht="19.5" customHeight="1" x14ac:dyDescent="0.25">
      <c r="A35" s="18"/>
      <c r="B35" s="25"/>
      <c r="C35" s="26" t="s">
        <v>22</v>
      </c>
      <c r="D35" s="31"/>
      <c r="E35" s="48" t="s">
        <v>7</v>
      </c>
      <c r="F35" s="43"/>
      <c r="G35" s="32"/>
      <c r="H35" s="48" t="s">
        <v>23</v>
      </c>
      <c r="I35" s="43"/>
      <c r="J35" s="32"/>
      <c r="K35" s="34"/>
      <c r="L35" s="34"/>
      <c r="M35" s="28"/>
      <c r="N35" s="34"/>
      <c r="O35" s="34"/>
      <c r="P35" s="29"/>
    </row>
    <row r="36" spans="1:16" ht="19.5" customHeight="1" x14ac:dyDescent="0.25">
      <c r="A36" s="18"/>
      <c r="B36" s="25"/>
      <c r="C36" s="30">
        <f>VLOOKUP('Historia de Usuario'!C33,'Formato descripción HU'!B7:O40,8,0)</f>
        <v>10</v>
      </c>
      <c r="D36" s="31"/>
      <c r="E36" s="49" t="str">
        <f>VLOOKUP(C33,'Formato descripción HU'!B7:O40,10,0)</f>
        <v>Alta</v>
      </c>
      <c r="F36" s="43"/>
      <c r="G36" s="32"/>
      <c r="H36" s="49" t="str">
        <f>VLOOKUP(C33,'Formato descripción HU'!B7:O40,7,0)</f>
        <v>Alejandro Obando</v>
      </c>
      <c r="I36" s="43"/>
      <c r="J36" s="32"/>
      <c r="K36" s="34"/>
      <c r="L36" s="34"/>
      <c r="M36" s="28"/>
      <c r="N36" s="34"/>
      <c r="O36" s="34"/>
      <c r="P36" s="29"/>
    </row>
    <row r="37" spans="1:16" ht="19.5" customHeight="1" x14ac:dyDescent="0.25">
      <c r="A37" s="18"/>
      <c r="B37" s="25"/>
      <c r="C37" s="28"/>
      <c r="D37" s="31"/>
      <c r="E37" s="28"/>
      <c r="F37" s="28"/>
      <c r="G37" s="32"/>
      <c r="H37" s="32"/>
      <c r="I37" s="28"/>
      <c r="J37" s="28"/>
      <c r="K37" s="28"/>
      <c r="L37" s="28"/>
      <c r="M37" s="28"/>
      <c r="N37" s="28"/>
      <c r="O37" s="28"/>
      <c r="P37" s="29"/>
    </row>
    <row r="38" spans="1:16" ht="19.5" customHeight="1" x14ac:dyDescent="0.25">
      <c r="B38" s="25"/>
      <c r="C38" s="56" t="s">
        <v>24</v>
      </c>
      <c r="D38" s="50" t="str">
        <f>VLOOKUP(C33,'Formato descripción HU'!B7:O40,3,0)</f>
        <v>El sistema deberá permitir que un transportista cree su cuenta proporcionando datos personales y de contacto.</v>
      </c>
      <c r="E38" s="51"/>
      <c r="F38" s="35"/>
      <c r="G38" s="56" t="s">
        <v>25</v>
      </c>
      <c r="H38" s="50" t="str">
        <f>VLOOKUP(C33,'Formato descripción HU'!B7:O40,4,0)</f>
        <v>Para que el transportista pueda acceder a los servicios y funcionalidades de la plataforma.</v>
      </c>
      <c r="I38" s="59"/>
      <c r="J38" s="51"/>
      <c r="K38" s="35"/>
      <c r="L38" s="56" t="s">
        <v>26</v>
      </c>
      <c r="M38" s="61" t="str">
        <f>VLOOKUP(C33,'Formato descripción HU'!B7:O40,6,0)</f>
        <v>REQ002-1: Diseño de interfaz para registro de usuarios. (Alejandro Obando) – 1 hr
REQ002-2: Creación del formulario de registro. (Steven Egas) – 2 hrs
REQ002-3: Validación de campos obligatorios. (Juan Quimbiulco) – 2 hrs
REQ002-4: Verificación de correo electrónico único. (Alejandro Obando) – 2 hrs
REQ002-5: Implementación de almacenamiento de usuarios. (Steven Egas) – 2 hrs
REQ002-6: Notificación de registro exitoso. (Juan Quimbiulco) – 1 hr</v>
      </c>
      <c r="N38" s="59"/>
      <c r="O38" s="51"/>
      <c r="P38" s="29"/>
    </row>
    <row r="39" spans="1:16" ht="19.5" customHeight="1" x14ac:dyDescent="0.25">
      <c r="B39" s="25"/>
      <c r="C39" s="57"/>
      <c r="D39" s="52"/>
      <c r="E39" s="53"/>
      <c r="F39" s="35"/>
      <c r="G39" s="57"/>
      <c r="H39" s="52"/>
      <c r="I39" s="45"/>
      <c r="J39" s="53"/>
      <c r="K39" s="35"/>
      <c r="L39" s="57"/>
      <c r="M39" s="52"/>
      <c r="N39" s="45"/>
      <c r="O39" s="53"/>
      <c r="P39" s="29"/>
    </row>
    <row r="40" spans="1:16" ht="19.5" customHeight="1" x14ac:dyDescent="0.25">
      <c r="B40" s="25"/>
      <c r="C40" s="58"/>
      <c r="D40" s="54"/>
      <c r="E40" s="55"/>
      <c r="F40" s="35"/>
      <c r="G40" s="58"/>
      <c r="H40" s="54"/>
      <c r="I40" s="60"/>
      <c r="J40" s="55"/>
      <c r="K40" s="35"/>
      <c r="L40" s="58"/>
      <c r="M40" s="54"/>
      <c r="N40" s="60"/>
      <c r="O40" s="55"/>
      <c r="P40" s="29"/>
    </row>
    <row r="41" spans="1:16" ht="19.5" customHeight="1" x14ac:dyDescent="0.25">
      <c r="A41" s="18"/>
      <c r="B41" s="25"/>
      <c r="C41" s="28"/>
      <c r="D41" s="28"/>
      <c r="E41" s="28"/>
      <c r="F41" s="28"/>
      <c r="G41" s="32"/>
      <c r="H41" s="32"/>
      <c r="I41" s="32"/>
      <c r="J41" s="28"/>
      <c r="K41" s="28"/>
      <c r="L41" s="28"/>
      <c r="M41" s="28"/>
      <c r="N41" s="28"/>
      <c r="O41" s="28"/>
      <c r="P41" s="29"/>
    </row>
    <row r="42" spans="1:16" ht="19.5" customHeight="1" x14ac:dyDescent="0.25">
      <c r="A42" s="18"/>
      <c r="B42" s="25"/>
      <c r="C42" s="68" t="s">
        <v>27</v>
      </c>
      <c r="D42" s="51"/>
      <c r="E42" s="62" t="str">
        <f>VLOOKUP(C33,'Formato descripción HU'!B7:O40,14,0)</f>
        <v>Crear Cuenta</v>
      </c>
      <c r="F42" s="63"/>
      <c r="G42" s="63"/>
      <c r="H42" s="63"/>
      <c r="I42" s="63"/>
      <c r="J42" s="63"/>
      <c r="K42" s="63"/>
      <c r="L42" s="63"/>
      <c r="M42" s="63"/>
      <c r="N42" s="63"/>
      <c r="O42" s="64"/>
      <c r="P42" s="29"/>
    </row>
    <row r="43" spans="1:16" ht="19.5" customHeight="1" x14ac:dyDescent="0.25">
      <c r="A43" s="18"/>
      <c r="B43" s="25"/>
      <c r="C43" s="54"/>
      <c r="D43" s="55"/>
      <c r="E43" s="65"/>
      <c r="F43" s="66"/>
      <c r="G43" s="66"/>
      <c r="H43" s="66"/>
      <c r="I43" s="66"/>
      <c r="J43" s="66"/>
      <c r="K43" s="66"/>
      <c r="L43" s="66"/>
      <c r="M43" s="66"/>
      <c r="N43" s="66"/>
      <c r="O43" s="67"/>
      <c r="P43" s="29"/>
    </row>
    <row r="44" spans="1:16" ht="19.5" customHeight="1" x14ac:dyDescent="0.25">
      <c r="A44" s="18"/>
      <c r="B44" s="25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9"/>
    </row>
    <row r="45" spans="1:16" ht="19.5" customHeight="1" x14ac:dyDescent="0.25">
      <c r="A45" s="18"/>
      <c r="B45" s="25"/>
      <c r="C45" s="69" t="s">
        <v>28</v>
      </c>
      <c r="D45" s="51"/>
      <c r="E45" s="80" t="str">
        <f>VLOOKUP(C33,'Formato descripción HU'!B7:O17,12,0)</f>
        <v>El transportista completa el formulario con datos válidos y el sistema registra la cuenta exitosamente. Si el correo ya existe, se muestra mensaje de error. Se envía notificación de registro exitoso.</v>
      </c>
      <c r="F45" s="81"/>
      <c r="G45" s="81"/>
      <c r="H45" s="82"/>
      <c r="I45" s="28"/>
      <c r="J45" s="69" t="s">
        <v>10</v>
      </c>
      <c r="K45" s="51"/>
      <c r="L45" s="50">
        <f>VLOOKUP(C33,'Formato descripción HU'!B7:O40,13,0)</f>
        <v>0</v>
      </c>
      <c r="M45" s="59"/>
      <c r="N45" s="59"/>
      <c r="O45" s="51"/>
      <c r="P45" s="29"/>
    </row>
    <row r="46" spans="1:16" ht="19.5" customHeight="1" x14ac:dyDescent="0.25">
      <c r="A46" s="18"/>
      <c r="B46" s="25"/>
      <c r="C46" s="52"/>
      <c r="D46" s="53"/>
      <c r="E46" s="83"/>
      <c r="F46" s="84"/>
      <c r="G46" s="84"/>
      <c r="H46" s="85"/>
      <c r="I46" s="28"/>
      <c r="J46" s="52"/>
      <c r="K46" s="53"/>
      <c r="L46" s="52"/>
      <c r="M46" s="45"/>
      <c r="N46" s="45"/>
      <c r="O46" s="53"/>
      <c r="P46" s="29"/>
    </row>
    <row r="47" spans="1:16" ht="19.5" customHeight="1" x14ac:dyDescent="0.25">
      <c r="A47" s="18"/>
      <c r="B47" s="25"/>
      <c r="C47" s="54"/>
      <c r="D47" s="55"/>
      <c r="E47" s="86"/>
      <c r="F47" s="87"/>
      <c r="G47" s="87"/>
      <c r="H47" s="88"/>
      <c r="I47" s="28"/>
      <c r="J47" s="54"/>
      <c r="K47" s="55"/>
      <c r="L47" s="54"/>
      <c r="M47" s="60"/>
      <c r="N47" s="60"/>
      <c r="O47" s="55"/>
      <c r="P47" s="29"/>
    </row>
    <row r="48" spans="1:16" ht="19.5" customHeight="1" x14ac:dyDescent="0.25">
      <c r="A48" s="18"/>
      <c r="B48" s="36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8"/>
    </row>
    <row r="49" spans="1:16" ht="19.5" customHeight="1" x14ac:dyDescent="0.3">
      <c r="A49" s="18"/>
      <c r="B49" s="18"/>
      <c r="C49" s="39"/>
      <c r="D49" s="18"/>
      <c r="E49" s="44"/>
      <c r="F49" s="45"/>
      <c r="G49" s="18"/>
      <c r="H49" s="44"/>
      <c r="I49" s="45"/>
      <c r="J49" s="18"/>
      <c r="K49" s="18"/>
      <c r="L49" s="18"/>
      <c r="M49" s="18"/>
      <c r="N49" s="18"/>
      <c r="O49" s="18"/>
      <c r="P49" s="18"/>
    </row>
    <row r="50" spans="1:16" ht="19.5" customHeight="1" x14ac:dyDescent="0.3">
      <c r="A50" s="18"/>
      <c r="B50" s="18"/>
      <c r="C50" s="40"/>
      <c r="D50" s="18"/>
      <c r="E50" s="46"/>
      <c r="F50" s="45"/>
      <c r="G50" s="18"/>
      <c r="H50" s="71"/>
      <c r="I50" s="45"/>
      <c r="J50" s="18"/>
      <c r="K50" s="18"/>
      <c r="L50" s="18"/>
      <c r="M50" s="18"/>
      <c r="N50" s="18"/>
      <c r="O50" s="18"/>
      <c r="P50" s="18"/>
    </row>
    <row r="51" spans="1:16" ht="19.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spans="1:16" ht="19.5" customHeight="1" x14ac:dyDescent="0.25">
      <c r="A52" s="18"/>
      <c r="B52" s="47" t="s">
        <v>20</v>
      </c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3"/>
    </row>
    <row r="53" spans="1:16" ht="15.75" customHeight="1" x14ac:dyDescent="0.25">
      <c r="A53" s="18"/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8"/>
    </row>
    <row r="54" spans="1:16" ht="15.75" customHeight="1" x14ac:dyDescent="0.3">
      <c r="A54" s="18"/>
      <c r="B54" s="20"/>
      <c r="C54" s="21"/>
      <c r="D54" s="21"/>
      <c r="E54" s="21"/>
      <c r="F54" s="22"/>
      <c r="G54" s="23"/>
      <c r="H54" s="23"/>
      <c r="I54" s="23"/>
      <c r="J54" s="23"/>
      <c r="K54" s="23"/>
      <c r="L54" s="23"/>
      <c r="M54" s="23"/>
      <c r="N54" s="23"/>
      <c r="O54" s="23"/>
      <c r="P54" s="24"/>
    </row>
    <row r="55" spans="1:16" ht="15.75" customHeight="1" x14ac:dyDescent="0.25">
      <c r="A55" s="18"/>
      <c r="B55" s="25"/>
      <c r="C55" s="26" t="s">
        <v>1</v>
      </c>
      <c r="D55" s="27"/>
      <c r="E55" s="48" t="s">
        <v>21</v>
      </c>
      <c r="F55" s="43"/>
      <c r="G55" s="27"/>
      <c r="H55" s="48" t="s">
        <v>8</v>
      </c>
      <c r="I55" s="43"/>
      <c r="J55" s="28"/>
      <c r="K55" s="28"/>
      <c r="L55" s="28"/>
      <c r="M55" s="28"/>
      <c r="N55" s="28"/>
      <c r="O55" s="28"/>
      <c r="P55" s="29"/>
    </row>
    <row r="56" spans="1:16" ht="15.75" customHeight="1" x14ac:dyDescent="0.25">
      <c r="A56" s="18"/>
      <c r="B56" s="25"/>
      <c r="C56" s="30" t="s">
        <v>43</v>
      </c>
      <c r="D56" s="31"/>
      <c r="E56" s="49" t="str">
        <f>VLOOKUP(C56,'Formato descripción HU'!B8:O63,5,0)</f>
        <v>Usuario</v>
      </c>
      <c r="F56" s="43"/>
      <c r="G56" s="32"/>
      <c r="H56" s="49" t="str">
        <f>VLOOKUP(C56,'Formato descripción HU'!B8:O63,11,0)</f>
        <v>Finalizado</v>
      </c>
      <c r="I56" s="43"/>
      <c r="J56" s="32"/>
      <c r="K56" s="28"/>
      <c r="L56" s="28"/>
      <c r="M56" s="28"/>
      <c r="N56" s="28"/>
      <c r="O56" s="28"/>
      <c r="P56" s="29"/>
    </row>
    <row r="57" spans="1:16" ht="15.75" customHeight="1" x14ac:dyDescent="0.25">
      <c r="A57" s="18"/>
      <c r="B57" s="25"/>
      <c r="C57" s="33"/>
      <c r="D57" s="31"/>
      <c r="E57" s="34"/>
      <c r="F57" s="34"/>
      <c r="G57" s="32"/>
      <c r="H57" s="34"/>
      <c r="I57" s="34"/>
      <c r="J57" s="32"/>
      <c r="K57" s="34"/>
      <c r="L57" s="34"/>
      <c r="M57" s="28"/>
      <c r="N57" s="34"/>
      <c r="O57" s="34"/>
      <c r="P57" s="29"/>
    </row>
    <row r="58" spans="1:16" ht="15.75" customHeight="1" x14ac:dyDescent="0.25">
      <c r="A58" s="18"/>
      <c r="B58" s="25"/>
      <c r="C58" s="26" t="s">
        <v>22</v>
      </c>
      <c r="D58" s="31"/>
      <c r="E58" s="48" t="s">
        <v>7</v>
      </c>
      <c r="F58" s="43"/>
      <c r="G58" s="32"/>
      <c r="H58" s="48" t="s">
        <v>23</v>
      </c>
      <c r="I58" s="43"/>
      <c r="J58" s="32"/>
      <c r="K58" s="34"/>
      <c r="L58" s="34"/>
      <c r="M58" s="28"/>
      <c r="N58" s="34"/>
      <c r="O58" s="34"/>
      <c r="P58" s="29"/>
    </row>
    <row r="59" spans="1:16" ht="15.75" customHeight="1" x14ac:dyDescent="0.25">
      <c r="A59" s="18"/>
      <c r="B59" s="25"/>
      <c r="C59" s="30">
        <f>VLOOKUP('Historia de Usuario'!C56,'Formato descripción HU'!B8:O63,8,0)</f>
        <v>10</v>
      </c>
      <c r="D59" s="31"/>
      <c r="E59" s="49" t="str">
        <f>VLOOKUP(C56,'Formato descripción HU'!B8:O63,10,0)</f>
        <v>Alta</v>
      </c>
      <c r="F59" s="43"/>
      <c r="G59" s="32"/>
      <c r="H59" s="49" t="str">
        <f>VLOOKUP(C56,'Formato descripción HU'!B8:O63,7,0)</f>
        <v>Juan Quimbiulco</v>
      </c>
      <c r="I59" s="43"/>
      <c r="J59" s="32"/>
      <c r="K59" s="34"/>
      <c r="L59" s="34"/>
      <c r="M59" s="28"/>
      <c r="N59" s="34"/>
      <c r="O59" s="34"/>
      <c r="P59" s="29"/>
    </row>
    <row r="60" spans="1:16" ht="15.75" customHeight="1" x14ac:dyDescent="0.25">
      <c r="A60" s="18"/>
      <c r="B60" s="25"/>
      <c r="C60" s="28"/>
      <c r="D60" s="31"/>
      <c r="E60" s="28"/>
      <c r="F60" s="28"/>
      <c r="G60" s="32"/>
      <c r="H60" s="32"/>
      <c r="I60" s="28"/>
      <c r="J60" s="28"/>
      <c r="K60" s="28"/>
      <c r="L60" s="28"/>
      <c r="M60" s="28"/>
      <c r="N60" s="28"/>
      <c r="O60" s="28"/>
      <c r="P60" s="29"/>
    </row>
    <row r="61" spans="1:16" ht="15.75" customHeight="1" x14ac:dyDescent="0.25">
      <c r="A61" s="18"/>
      <c r="B61" s="25"/>
      <c r="C61" s="56" t="s">
        <v>24</v>
      </c>
      <c r="D61" s="50" t="str">
        <f>VLOOKUP(C56,'Formato descripción HU'!B8:O63,3,0)</f>
        <v>El sistema deberá ofrecer un mecanismo para restablecer la contraseña mediante el correo registrado.</v>
      </c>
      <c r="E61" s="51"/>
      <c r="F61" s="35"/>
      <c r="G61" s="56" t="s">
        <v>25</v>
      </c>
      <c r="H61" s="50" t="str">
        <f>VLOOKUP(C56,'Formato descripción HU'!B8:O63,4,0)</f>
        <v>Para que el usuario pueda recuperar el acceso a su cuenta de forma segura y autónoma.</v>
      </c>
      <c r="I61" s="59"/>
      <c r="J61" s="51"/>
      <c r="K61" s="35"/>
      <c r="L61" s="56" t="s">
        <v>26</v>
      </c>
      <c r="M61" s="61" t="str">
        <f>VLOOKUP(C56,'Formato descripción HU'!B8:O63,6,0)</f>
        <v>REQ003-1: Creación del enlace de recuperación de contraseña. (Juan Quimbiulco) – 1 hr
REQ003-2: Diseño del formulario de recuperación. (Steven Egas) – 2 hrs
REQ003-3: Validación de correo registrado. (Alejandro Obando) – 2 hrs
REQ003-4: Generación de enlace de restablecimiento. (Juan Quimbiulco) – 2 hrs
REQ003-5: Implementación de nueva contraseña. (Steven Egas) – 2 hrs
REQ003-6: Validación de complejidad de contraseña. (Alejandro Obando) – 1 hr</v>
      </c>
      <c r="N61" s="59"/>
      <c r="O61" s="51"/>
      <c r="P61" s="29"/>
    </row>
    <row r="62" spans="1:16" ht="15.75" customHeight="1" x14ac:dyDescent="0.25">
      <c r="A62" s="18"/>
      <c r="B62" s="25"/>
      <c r="C62" s="57"/>
      <c r="D62" s="52"/>
      <c r="E62" s="53"/>
      <c r="F62" s="35"/>
      <c r="G62" s="57"/>
      <c r="H62" s="52"/>
      <c r="I62" s="45"/>
      <c r="J62" s="53"/>
      <c r="K62" s="35"/>
      <c r="L62" s="57"/>
      <c r="M62" s="52"/>
      <c r="N62" s="45"/>
      <c r="O62" s="53"/>
      <c r="P62" s="29"/>
    </row>
    <row r="63" spans="1:16" ht="15.75" customHeight="1" x14ac:dyDescent="0.25">
      <c r="A63" s="18"/>
      <c r="B63" s="25"/>
      <c r="C63" s="58"/>
      <c r="D63" s="54"/>
      <c r="E63" s="55"/>
      <c r="F63" s="35"/>
      <c r="G63" s="58"/>
      <c r="H63" s="54"/>
      <c r="I63" s="60"/>
      <c r="J63" s="55"/>
      <c r="K63" s="35"/>
      <c r="L63" s="58"/>
      <c r="M63" s="54"/>
      <c r="N63" s="60"/>
      <c r="O63" s="55"/>
      <c r="P63" s="29"/>
    </row>
    <row r="64" spans="1:16" ht="15.75" customHeight="1" x14ac:dyDescent="0.25">
      <c r="A64" s="18"/>
      <c r="B64" s="25"/>
      <c r="C64" s="28"/>
      <c r="D64" s="28"/>
      <c r="E64" s="28"/>
      <c r="F64" s="28"/>
      <c r="G64" s="32"/>
      <c r="H64" s="32"/>
      <c r="I64" s="32"/>
      <c r="J64" s="28"/>
      <c r="K64" s="28"/>
      <c r="L64" s="28"/>
      <c r="M64" s="28"/>
      <c r="N64" s="28"/>
      <c r="O64" s="28"/>
      <c r="P64" s="29"/>
    </row>
    <row r="65" spans="1:16" ht="15.75" customHeight="1" x14ac:dyDescent="0.25">
      <c r="A65" s="18"/>
      <c r="B65" s="25"/>
      <c r="C65" s="68" t="s">
        <v>27</v>
      </c>
      <c r="D65" s="51"/>
      <c r="E65" s="62" t="str">
        <f>VLOOKUP(C56,'Formato descripción HU'!B8:O63,14,0)</f>
        <v>Recuperar Contraseña</v>
      </c>
      <c r="F65" s="63"/>
      <c r="G65" s="63"/>
      <c r="H65" s="63"/>
      <c r="I65" s="63"/>
      <c r="J65" s="63"/>
      <c r="K65" s="63"/>
      <c r="L65" s="63"/>
      <c r="M65" s="63"/>
      <c r="N65" s="63"/>
      <c r="O65" s="64"/>
      <c r="P65" s="29"/>
    </row>
    <row r="66" spans="1:16" ht="15.75" customHeight="1" x14ac:dyDescent="0.25">
      <c r="B66" s="25"/>
      <c r="C66" s="54"/>
      <c r="D66" s="55"/>
      <c r="E66" s="65"/>
      <c r="F66" s="66"/>
      <c r="G66" s="66"/>
      <c r="H66" s="66"/>
      <c r="I66" s="66"/>
      <c r="J66" s="66"/>
      <c r="K66" s="66"/>
      <c r="L66" s="66"/>
      <c r="M66" s="66"/>
      <c r="N66" s="66"/>
      <c r="O66" s="67"/>
      <c r="P66" s="29"/>
    </row>
    <row r="67" spans="1:16" ht="9.75" customHeight="1" x14ac:dyDescent="0.25">
      <c r="A67" s="18"/>
      <c r="B67" s="25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9"/>
    </row>
    <row r="68" spans="1:16" ht="27" customHeight="1" x14ac:dyDescent="0.25">
      <c r="A68" s="18"/>
      <c r="B68" s="25"/>
      <c r="C68" s="69" t="s">
        <v>28</v>
      </c>
      <c r="D68" s="51"/>
      <c r="E68" s="80" t="str">
        <f>VLOOKUP(C56,'Formato descripción HU'!B8:O63,12,0)</f>
        <v>El usuario ingresa su correo registrado, recibe un enlace de restablecimiento, accede al formulario y crea una nueva contraseña cumpliendo los requisitos de complejidad. El sistema confirma el cambio.</v>
      </c>
      <c r="F68" s="81"/>
      <c r="G68" s="81"/>
      <c r="H68" s="82"/>
      <c r="I68" s="28"/>
      <c r="J68" s="69" t="s">
        <v>10</v>
      </c>
      <c r="K68" s="51"/>
      <c r="L68" s="50">
        <f>VLOOKUP(C56,'Formato descripción HU'!B8:O63,13,0)</f>
        <v>0</v>
      </c>
      <c r="M68" s="59"/>
      <c r="N68" s="59"/>
      <c r="O68" s="51"/>
      <c r="P68" s="29"/>
    </row>
    <row r="69" spans="1:16" ht="15.75" customHeight="1" x14ac:dyDescent="0.25">
      <c r="A69" s="18"/>
      <c r="B69" s="25"/>
      <c r="C69" s="52"/>
      <c r="D69" s="53"/>
      <c r="E69" s="83"/>
      <c r="F69" s="84"/>
      <c r="G69" s="84"/>
      <c r="H69" s="85"/>
      <c r="I69" s="28"/>
      <c r="J69" s="52"/>
      <c r="K69" s="53"/>
      <c r="L69" s="52"/>
      <c r="M69" s="45"/>
      <c r="N69" s="45"/>
      <c r="O69" s="53"/>
      <c r="P69" s="29"/>
    </row>
    <row r="70" spans="1:16" ht="15.75" customHeight="1" x14ac:dyDescent="0.25">
      <c r="A70" s="18"/>
      <c r="B70" s="25"/>
      <c r="C70" s="54"/>
      <c r="D70" s="55"/>
      <c r="E70" s="86"/>
      <c r="F70" s="87"/>
      <c r="G70" s="87"/>
      <c r="H70" s="88"/>
      <c r="I70" s="28"/>
      <c r="J70" s="54"/>
      <c r="K70" s="55"/>
      <c r="L70" s="54"/>
      <c r="M70" s="60"/>
      <c r="N70" s="60"/>
      <c r="O70" s="55"/>
      <c r="P70" s="29"/>
    </row>
    <row r="71" spans="1:16" ht="15.75" customHeight="1" x14ac:dyDescent="0.25">
      <c r="A71" s="18"/>
      <c r="B71" s="36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8"/>
    </row>
    <row r="72" spans="1:16" ht="15.75" customHeight="1" x14ac:dyDescent="0.3">
      <c r="A72" s="18"/>
      <c r="B72" s="18"/>
      <c r="C72" s="39"/>
      <c r="D72" s="18"/>
      <c r="E72" s="44"/>
      <c r="F72" s="45"/>
      <c r="G72" s="18"/>
      <c r="H72" s="44"/>
      <c r="I72" s="45"/>
      <c r="J72" s="18"/>
      <c r="K72" s="18"/>
      <c r="L72" s="18"/>
      <c r="M72" s="18"/>
      <c r="N72" s="18"/>
      <c r="O72" s="18"/>
      <c r="P72" s="18"/>
    </row>
    <row r="73" spans="1:16" ht="15.75" customHeight="1" x14ac:dyDescent="0.25">
      <c r="A73" s="18"/>
      <c r="B73" s="47" t="s">
        <v>20</v>
      </c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3"/>
    </row>
    <row r="74" spans="1:16" ht="15.75" customHeight="1" x14ac:dyDescent="0.25">
      <c r="A74" s="18"/>
      <c r="B74" s="18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8"/>
    </row>
    <row r="75" spans="1:16" ht="15.75" customHeight="1" x14ac:dyDescent="0.3">
      <c r="A75" s="18"/>
      <c r="B75" s="20"/>
      <c r="C75" s="21"/>
      <c r="D75" s="21"/>
      <c r="E75" s="21"/>
      <c r="F75" s="22"/>
      <c r="G75" s="23"/>
      <c r="H75" s="23"/>
      <c r="I75" s="23"/>
      <c r="J75" s="23"/>
      <c r="K75" s="23"/>
      <c r="L75" s="23"/>
      <c r="M75" s="23"/>
      <c r="N75" s="23"/>
      <c r="O75" s="23"/>
      <c r="P75" s="24"/>
    </row>
    <row r="76" spans="1:16" ht="15.75" customHeight="1" x14ac:dyDescent="0.25">
      <c r="A76" s="18"/>
      <c r="B76" s="25"/>
      <c r="C76" s="26" t="s">
        <v>1</v>
      </c>
      <c r="D76" s="27"/>
      <c r="E76" s="48" t="s">
        <v>21</v>
      </c>
      <c r="F76" s="43"/>
      <c r="G76" s="27"/>
      <c r="H76" s="48" t="s">
        <v>8</v>
      </c>
      <c r="I76" s="43"/>
      <c r="J76" s="28"/>
      <c r="K76" s="28"/>
      <c r="L76" s="28"/>
      <c r="M76" s="28"/>
      <c r="N76" s="28"/>
      <c r="O76" s="28"/>
      <c r="P76" s="29"/>
    </row>
    <row r="77" spans="1:16" ht="15.75" customHeight="1" x14ac:dyDescent="0.25">
      <c r="A77" s="18"/>
      <c r="B77" s="25"/>
      <c r="C77" s="30" t="s">
        <v>49</v>
      </c>
      <c r="D77" s="31"/>
      <c r="E77" s="49" t="str">
        <f>VLOOKUP(C77,'Formato descripción HU'!B9:O84,5,0)</f>
        <v>Coordinador</v>
      </c>
      <c r="F77" s="43"/>
      <c r="G77" s="32"/>
      <c r="H77" s="49" t="str">
        <f>VLOOKUP(C77,'Formato descripción HU'!B9:O84,11,0)</f>
        <v>Finalizado</v>
      </c>
      <c r="I77" s="43"/>
      <c r="J77" s="32"/>
      <c r="K77" s="28"/>
      <c r="L77" s="28"/>
      <c r="M77" s="28"/>
      <c r="N77" s="28"/>
      <c r="O77" s="28"/>
      <c r="P77" s="29"/>
    </row>
    <row r="78" spans="1:16" ht="15.75" customHeight="1" x14ac:dyDescent="0.25">
      <c r="A78" s="18"/>
      <c r="B78" s="25"/>
      <c r="C78" s="33"/>
      <c r="D78" s="31"/>
      <c r="E78" s="34"/>
      <c r="F78" s="34"/>
      <c r="G78" s="32"/>
      <c r="H78" s="34"/>
      <c r="I78" s="34"/>
      <c r="J78" s="32"/>
      <c r="K78" s="34"/>
      <c r="L78" s="34"/>
      <c r="M78" s="28"/>
      <c r="N78" s="34"/>
      <c r="O78" s="34"/>
      <c r="P78" s="29"/>
    </row>
    <row r="79" spans="1:16" ht="15.75" customHeight="1" x14ac:dyDescent="0.25">
      <c r="A79" s="18"/>
      <c r="B79" s="25"/>
      <c r="C79" s="26" t="s">
        <v>22</v>
      </c>
      <c r="D79" s="31"/>
      <c r="E79" s="48" t="s">
        <v>7</v>
      </c>
      <c r="F79" s="43"/>
      <c r="G79" s="32"/>
      <c r="H79" s="48" t="s">
        <v>23</v>
      </c>
      <c r="I79" s="43"/>
      <c r="J79" s="32"/>
      <c r="K79" s="34"/>
      <c r="L79" s="34"/>
      <c r="M79" s="28"/>
      <c r="N79" s="34"/>
      <c r="O79" s="34"/>
      <c r="P79" s="29"/>
    </row>
    <row r="80" spans="1:16" ht="15.75" customHeight="1" x14ac:dyDescent="0.25">
      <c r="A80" s="18"/>
      <c r="B80" s="25"/>
      <c r="C80" s="30">
        <f>VLOOKUP('Historia de Usuario'!C77,'Formato descripción HU'!B9:O84,8,0)</f>
        <v>11</v>
      </c>
      <c r="D80" s="31"/>
      <c r="E80" s="49" t="str">
        <f>VLOOKUP(C77,'Formato descripción HU'!B9:O84,10,0)</f>
        <v>Alta</v>
      </c>
      <c r="F80" s="43"/>
      <c r="G80" s="32"/>
      <c r="H80" s="49" t="str">
        <f>VLOOKUP(C77,'Formato descripción HU'!B9:O84,7,0)</f>
        <v>Alejandro Obando</v>
      </c>
      <c r="I80" s="43"/>
      <c r="J80" s="32"/>
      <c r="K80" s="34"/>
      <c r="L80" s="34"/>
      <c r="M80" s="28"/>
      <c r="N80" s="34"/>
      <c r="O80" s="34"/>
      <c r="P80" s="29"/>
    </row>
    <row r="81" spans="1:16" ht="15.75" customHeight="1" x14ac:dyDescent="0.25">
      <c r="A81" s="18"/>
      <c r="B81" s="25"/>
      <c r="C81" s="28"/>
      <c r="D81" s="31"/>
      <c r="E81" s="28"/>
      <c r="F81" s="28"/>
      <c r="G81" s="32"/>
      <c r="H81" s="32"/>
      <c r="I81" s="28"/>
      <c r="J81" s="28"/>
      <c r="K81" s="28"/>
      <c r="L81" s="28"/>
      <c r="M81" s="28"/>
      <c r="N81" s="28"/>
      <c r="O81" s="28"/>
      <c r="P81" s="29"/>
    </row>
    <row r="82" spans="1:16" ht="15.75" customHeight="1" x14ac:dyDescent="0.25">
      <c r="A82" s="18"/>
      <c r="B82" s="25"/>
      <c r="C82" s="56" t="s">
        <v>24</v>
      </c>
      <c r="D82" s="50" t="str">
        <f>VLOOKUP(C77,'Formato descripción HU'!B9:O84,3,0)</f>
        <v>El sistema deberá permitir crear, editar, eliminar y consultar transportistas, así como gestionar su documentación habilitante.</v>
      </c>
      <c r="E82" s="51"/>
      <c r="F82" s="35"/>
      <c r="G82" s="56" t="s">
        <v>25</v>
      </c>
      <c r="H82" s="50" t="str">
        <f>VLOOKUP(C77,'Formato descripción HU'!B9:O84,4,0)</f>
        <v>Para mantener actualizados los datos y documentación de los transportistas disponibles en la plataforma.</v>
      </c>
      <c r="I82" s="59"/>
      <c r="J82" s="51"/>
      <c r="K82" s="35"/>
      <c r="L82" s="56" t="s">
        <v>26</v>
      </c>
      <c r="M82" s="61" t="str">
        <f>VLOOKUP(C77,'Formato descripción HU'!B9:O84,6,0)</f>
        <v>REQ004-1: Maqueteo de interfaz para gestión de transportistas. (Alejandro Obando) – 1 hr
REQ004-2: Desarrollo del formulario de registro. (Steven Egas) – 2 hrs
REQ004-3: Implementación de edición de información. (Juan Quimbiulco) – 2 hrs
REQ004-4: Implementación de eliminación lógica. (Alejandro Obando) – 2 hrs
REQ004-5: Carga de documentación habilitante. (Steven Egas) – 2 hrs
REQ004-6: Consulta y filtrado de transportistas. (Juan Quimbiulco) – 2 hrs</v>
      </c>
      <c r="N82" s="59"/>
      <c r="O82" s="51"/>
      <c r="P82" s="29"/>
    </row>
    <row r="83" spans="1:16" ht="15.75" customHeight="1" x14ac:dyDescent="0.25">
      <c r="A83" s="18"/>
      <c r="B83" s="25"/>
      <c r="C83" s="57"/>
      <c r="D83" s="52"/>
      <c r="E83" s="53"/>
      <c r="F83" s="35"/>
      <c r="G83" s="57"/>
      <c r="H83" s="52"/>
      <c r="I83" s="45"/>
      <c r="J83" s="53"/>
      <c r="K83" s="35"/>
      <c r="L83" s="57"/>
      <c r="M83" s="52"/>
      <c r="N83" s="45"/>
      <c r="O83" s="53"/>
      <c r="P83" s="29"/>
    </row>
    <row r="84" spans="1:16" ht="15.75" customHeight="1" x14ac:dyDescent="0.25">
      <c r="A84" s="18"/>
      <c r="B84" s="25"/>
      <c r="C84" s="58"/>
      <c r="D84" s="54"/>
      <c r="E84" s="55"/>
      <c r="F84" s="35"/>
      <c r="G84" s="58"/>
      <c r="H84" s="54"/>
      <c r="I84" s="60"/>
      <c r="J84" s="55"/>
      <c r="K84" s="35"/>
      <c r="L84" s="58"/>
      <c r="M84" s="54"/>
      <c r="N84" s="60"/>
      <c r="O84" s="55"/>
      <c r="P84" s="29"/>
    </row>
    <row r="85" spans="1:16" ht="15.75" customHeight="1" x14ac:dyDescent="0.25">
      <c r="B85" s="25"/>
      <c r="C85" s="28"/>
      <c r="D85" s="28"/>
      <c r="E85" s="28"/>
      <c r="F85" s="28"/>
      <c r="G85" s="32"/>
      <c r="H85" s="32"/>
      <c r="I85" s="32"/>
      <c r="J85" s="28"/>
      <c r="K85" s="28"/>
      <c r="L85" s="28"/>
      <c r="M85" s="28"/>
      <c r="N85" s="28"/>
      <c r="O85" s="28"/>
      <c r="P85" s="29"/>
    </row>
    <row r="86" spans="1:16" ht="15.75" customHeight="1" x14ac:dyDescent="0.25">
      <c r="A86" s="18"/>
      <c r="B86" s="25"/>
      <c r="C86" s="68" t="s">
        <v>27</v>
      </c>
      <c r="D86" s="51"/>
      <c r="E86" s="62" t="str">
        <f>VLOOKUP(C77,'Formato descripción HU'!B9:O84,14,0)</f>
        <v>Gestionar Transportistas</v>
      </c>
      <c r="F86" s="63"/>
      <c r="G86" s="63"/>
      <c r="H86" s="63"/>
      <c r="I86" s="63"/>
      <c r="J86" s="63"/>
      <c r="K86" s="63"/>
      <c r="L86" s="63"/>
      <c r="M86" s="63"/>
      <c r="N86" s="63"/>
      <c r="O86" s="64"/>
      <c r="P86" s="29"/>
    </row>
    <row r="87" spans="1:16" ht="13.8" x14ac:dyDescent="0.25">
      <c r="A87" s="18"/>
      <c r="B87" s="25"/>
      <c r="C87" s="54"/>
      <c r="D87" s="55"/>
      <c r="E87" s="65"/>
      <c r="F87" s="66"/>
      <c r="G87" s="66"/>
      <c r="H87" s="66"/>
      <c r="I87" s="66"/>
      <c r="J87" s="66"/>
      <c r="K87" s="66"/>
      <c r="L87" s="66"/>
      <c r="M87" s="66"/>
      <c r="N87" s="66"/>
      <c r="O87" s="67"/>
      <c r="P87" s="29"/>
    </row>
    <row r="88" spans="1:16" ht="15.75" customHeight="1" x14ac:dyDescent="0.25">
      <c r="A88" s="18"/>
      <c r="B88" s="25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9"/>
    </row>
    <row r="89" spans="1:16" ht="15.75" customHeight="1" x14ac:dyDescent="0.25">
      <c r="A89" s="18"/>
      <c r="B89" s="25"/>
      <c r="C89" s="69" t="s">
        <v>28</v>
      </c>
      <c r="D89" s="51"/>
      <c r="E89" s="80" t="str">
        <f>VLOOKUP(C77,'Formato descripción HU'!B9:O84,12,0)</f>
        <v>El coordinador puede registrar, editar y desactivar transportistas. La documentación se carga y valida correctamente. La búsqueda y filtrado retornan resultados precisos.</v>
      </c>
      <c r="F89" s="81"/>
      <c r="G89" s="81"/>
      <c r="H89" s="82"/>
      <c r="I89" s="28"/>
      <c r="J89" s="69" t="s">
        <v>10</v>
      </c>
      <c r="K89" s="51"/>
      <c r="L89" s="50">
        <f>VLOOKUP(C77,'Formato descripción HU'!B9:O84,13,0)</f>
        <v>0</v>
      </c>
      <c r="M89" s="59"/>
      <c r="N89" s="59"/>
      <c r="O89" s="51"/>
      <c r="P89" s="29"/>
    </row>
    <row r="90" spans="1:16" ht="15.75" customHeight="1" x14ac:dyDescent="0.25">
      <c r="A90" s="18"/>
      <c r="B90" s="25"/>
      <c r="C90" s="52"/>
      <c r="D90" s="53"/>
      <c r="E90" s="83"/>
      <c r="F90" s="84"/>
      <c r="G90" s="84"/>
      <c r="H90" s="85"/>
      <c r="I90" s="28"/>
      <c r="J90" s="52"/>
      <c r="K90" s="53"/>
      <c r="L90" s="52"/>
      <c r="M90" s="45"/>
      <c r="N90" s="45"/>
      <c r="O90" s="53"/>
      <c r="P90" s="29"/>
    </row>
    <row r="91" spans="1:16" ht="15.75" customHeight="1" x14ac:dyDescent="0.25">
      <c r="A91" s="18"/>
      <c r="B91" s="25"/>
      <c r="C91" s="54"/>
      <c r="D91" s="55"/>
      <c r="E91" s="86"/>
      <c r="F91" s="87"/>
      <c r="G91" s="87"/>
      <c r="H91" s="88"/>
      <c r="I91" s="28"/>
      <c r="J91" s="54"/>
      <c r="K91" s="55"/>
      <c r="L91" s="54"/>
      <c r="M91" s="60"/>
      <c r="N91" s="60"/>
      <c r="O91" s="55"/>
      <c r="P91" s="29"/>
    </row>
    <row r="92" spans="1:16" ht="15.75" customHeight="1" x14ac:dyDescent="0.25">
      <c r="A92" s="18"/>
      <c r="B92" s="36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8"/>
    </row>
    <row r="93" spans="1:16" ht="15.75" customHeight="1" x14ac:dyDescent="0.25">
      <c r="A93" s="18"/>
    </row>
    <row r="94" spans="1:16" ht="15.75" customHeight="1" x14ac:dyDescent="0.25">
      <c r="A94" s="18"/>
    </row>
    <row r="95" spans="1:16" ht="15.75" customHeight="1" x14ac:dyDescent="0.25">
      <c r="A95" s="18"/>
      <c r="B95" s="47" t="s">
        <v>20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3"/>
    </row>
    <row r="96" spans="1:16" ht="15.75" customHeight="1" x14ac:dyDescent="0.25">
      <c r="A96" s="18"/>
      <c r="B96" s="18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8"/>
    </row>
    <row r="97" spans="1:16" ht="15.75" customHeight="1" x14ac:dyDescent="0.3">
      <c r="A97" s="18"/>
      <c r="B97" s="20"/>
      <c r="C97" s="21"/>
      <c r="D97" s="21"/>
      <c r="E97" s="21"/>
      <c r="F97" s="22"/>
      <c r="G97" s="23"/>
      <c r="H97" s="23"/>
      <c r="I97" s="23"/>
      <c r="J97" s="23"/>
      <c r="K97" s="23"/>
      <c r="L97" s="23"/>
      <c r="M97" s="23"/>
      <c r="N97" s="23"/>
      <c r="O97" s="23"/>
      <c r="P97" s="24"/>
    </row>
    <row r="98" spans="1:16" ht="15.75" customHeight="1" x14ac:dyDescent="0.25">
      <c r="A98" s="18"/>
      <c r="B98" s="25"/>
      <c r="C98" s="26" t="s">
        <v>1</v>
      </c>
      <c r="D98" s="27"/>
      <c r="E98" s="48" t="s">
        <v>21</v>
      </c>
      <c r="F98" s="43"/>
      <c r="G98" s="27"/>
      <c r="H98" s="48" t="s">
        <v>8</v>
      </c>
      <c r="I98" s="43"/>
      <c r="J98" s="28"/>
      <c r="K98" s="28"/>
      <c r="L98" s="28"/>
      <c r="M98" s="28"/>
      <c r="N98" s="28"/>
      <c r="O98" s="28"/>
      <c r="P98" s="29"/>
    </row>
    <row r="99" spans="1:16" ht="15.75" customHeight="1" x14ac:dyDescent="0.25">
      <c r="A99" s="18"/>
      <c r="B99" s="25"/>
      <c r="C99" s="30" t="s">
        <v>55</v>
      </c>
      <c r="D99" s="31"/>
      <c r="E99" s="49" t="str">
        <f>VLOOKUP(C99,'Formato descripción HU'!B10:O106,5,0)</f>
        <v>Secretaria</v>
      </c>
      <c r="F99" s="43"/>
      <c r="G99" s="32"/>
      <c r="H99" s="49" t="str">
        <f>VLOOKUP(C99,'Formato descripción HU'!B10:O106,11,0)</f>
        <v>Finalizado</v>
      </c>
      <c r="I99" s="43"/>
      <c r="J99" s="32"/>
      <c r="K99" s="28"/>
      <c r="L99" s="28"/>
      <c r="M99" s="28"/>
      <c r="N99" s="28"/>
      <c r="O99" s="28"/>
      <c r="P99" s="29"/>
    </row>
    <row r="100" spans="1:16" ht="15.75" customHeight="1" x14ac:dyDescent="0.25">
      <c r="A100" s="18"/>
      <c r="B100" s="25"/>
      <c r="C100" s="33"/>
      <c r="D100" s="31"/>
      <c r="E100" s="34"/>
      <c r="F100" s="34"/>
      <c r="G100" s="32"/>
      <c r="H100" s="34"/>
      <c r="I100" s="34"/>
      <c r="J100" s="32"/>
      <c r="K100" s="34"/>
      <c r="L100" s="34"/>
      <c r="M100" s="28"/>
      <c r="N100" s="34"/>
      <c r="O100" s="34"/>
      <c r="P100" s="29"/>
    </row>
    <row r="101" spans="1:16" ht="15.75" customHeight="1" x14ac:dyDescent="0.25">
      <c r="A101" s="18"/>
      <c r="B101" s="25"/>
      <c r="C101" s="26" t="s">
        <v>22</v>
      </c>
      <c r="D101" s="31"/>
      <c r="E101" s="48" t="s">
        <v>7</v>
      </c>
      <c r="F101" s="43"/>
      <c r="G101" s="32"/>
      <c r="H101" s="48" t="s">
        <v>23</v>
      </c>
      <c r="I101" s="43"/>
      <c r="J101" s="32"/>
      <c r="K101" s="34"/>
      <c r="L101" s="34"/>
      <c r="M101" s="28"/>
      <c r="N101" s="34"/>
      <c r="O101" s="34"/>
      <c r="P101" s="29"/>
    </row>
    <row r="102" spans="1:16" ht="15.75" customHeight="1" x14ac:dyDescent="0.25">
      <c r="A102" s="18"/>
      <c r="B102" s="25"/>
      <c r="C102" s="30">
        <f>VLOOKUP('Historia de Usuario'!C99,'Formato descripción HU'!B10:O106,8,0)</f>
        <v>11</v>
      </c>
      <c r="D102" s="31"/>
      <c r="E102" s="49" t="str">
        <f>VLOOKUP(C99,'Formato descripción HU'!B10:O106,10,0)</f>
        <v>Alta</v>
      </c>
      <c r="F102" s="43"/>
      <c r="G102" s="32"/>
      <c r="H102" s="49" t="str">
        <f>VLOOKUP(C99,'Formato descripción HU'!B10:O106,7,0)</f>
        <v>Steven Egas</v>
      </c>
      <c r="I102" s="43"/>
      <c r="J102" s="32"/>
      <c r="K102" s="34"/>
      <c r="L102" s="34"/>
      <c r="M102" s="28"/>
      <c r="N102" s="34"/>
      <c r="O102" s="34"/>
      <c r="P102" s="29"/>
    </row>
    <row r="103" spans="1:16" ht="15.75" customHeight="1" x14ac:dyDescent="0.25">
      <c r="B103" s="25"/>
      <c r="C103" s="28"/>
      <c r="D103" s="31"/>
      <c r="E103" s="28"/>
      <c r="F103" s="28"/>
      <c r="G103" s="32"/>
      <c r="H103" s="32"/>
      <c r="I103" s="28"/>
      <c r="J103" s="28"/>
      <c r="K103" s="28"/>
      <c r="L103" s="28"/>
      <c r="M103" s="28"/>
      <c r="N103" s="28"/>
      <c r="O103" s="28"/>
      <c r="P103" s="29"/>
    </row>
    <row r="104" spans="1:16" ht="15.75" customHeight="1" x14ac:dyDescent="0.25">
      <c r="B104" s="25"/>
      <c r="C104" s="56" t="s">
        <v>24</v>
      </c>
      <c r="D104" s="50" t="str">
        <f>VLOOKUP(C99,'Formato descripción HU'!B10:O106,3,0)</f>
        <v>El sistema deberá permitir crear, consultar, cancelar y reprogramar viajes, incluyendo asignación de transportistas y rutas.</v>
      </c>
      <c r="E104" s="51"/>
      <c r="F104" s="35"/>
      <c r="G104" s="56" t="s">
        <v>25</v>
      </c>
      <c r="H104" s="50" t="str">
        <f>VLOOKUP(C99,'Formato descripción HU'!B10:O106,4,0)</f>
        <v>Para controlar de manera eficiente las operaciones de transporte desde su registro hasta su ejecución.</v>
      </c>
      <c r="I104" s="59"/>
      <c r="J104" s="51"/>
      <c r="K104" s="35"/>
      <c r="L104" s="56" t="s">
        <v>26</v>
      </c>
      <c r="M104" s="61" t="str">
        <f>VLOOKUP(C99,'Formato descripción HU'!B10:O106,6,0)</f>
        <v>REQ005-1: Diseño de interfaz de gestión de viajes. (Steven Egas) – 1 hr
REQ005-2: Creación de formularios de viaje. (Alejandro Obando) – 2 hrs
REQ005-3: Registro de origen y destino. (Juan Quimbiulco) – 2 hrs
REQ005-4: Consulta y búsqueda de viajes. (Steven Egas) – 2 hrs
REQ005-5: Cancelación de viajes. (Alejandro Obando) – 2 hrs
REQ005-6: Reprogramación de viajes. (Juan Quimbiulco) – 2 hrs</v>
      </c>
      <c r="N104" s="59"/>
      <c r="O104" s="51"/>
      <c r="P104" s="29"/>
    </row>
    <row r="105" spans="1:16" ht="15.75" customHeight="1" x14ac:dyDescent="0.25">
      <c r="B105" s="25"/>
      <c r="C105" s="57"/>
      <c r="D105" s="52"/>
      <c r="E105" s="53"/>
      <c r="F105" s="35"/>
      <c r="G105" s="57"/>
      <c r="H105" s="52"/>
      <c r="I105" s="45"/>
      <c r="J105" s="53"/>
      <c r="K105" s="35"/>
      <c r="L105" s="57"/>
      <c r="M105" s="52"/>
      <c r="N105" s="45"/>
      <c r="O105" s="53"/>
      <c r="P105" s="29"/>
    </row>
    <row r="106" spans="1:16" ht="15.75" customHeight="1" x14ac:dyDescent="0.25">
      <c r="B106" s="25"/>
      <c r="C106" s="58"/>
      <c r="D106" s="54"/>
      <c r="E106" s="55"/>
      <c r="F106" s="35"/>
      <c r="G106" s="58"/>
      <c r="H106" s="54"/>
      <c r="I106" s="60"/>
      <c r="J106" s="55"/>
      <c r="K106" s="35"/>
      <c r="L106" s="58"/>
      <c r="M106" s="54"/>
      <c r="N106" s="60"/>
      <c r="O106" s="55"/>
      <c r="P106" s="29"/>
    </row>
    <row r="107" spans="1:16" ht="15.75" customHeight="1" x14ac:dyDescent="0.25">
      <c r="B107" s="25"/>
      <c r="C107" s="28"/>
      <c r="D107" s="28"/>
      <c r="E107" s="28"/>
      <c r="F107" s="28"/>
      <c r="G107" s="32"/>
      <c r="H107" s="32"/>
      <c r="I107" s="32"/>
      <c r="J107" s="28"/>
      <c r="K107" s="28"/>
      <c r="L107" s="28"/>
      <c r="M107" s="28"/>
      <c r="N107" s="28"/>
      <c r="O107" s="28"/>
      <c r="P107" s="29"/>
    </row>
    <row r="108" spans="1:16" ht="15.75" customHeight="1" x14ac:dyDescent="0.25">
      <c r="B108" s="25"/>
      <c r="C108" s="68" t="s">
        <v>27</v>
      </c>
      <c r="D108" s="51"/>
      <c r="E108" s="62" t="str">
        <f>VLOOKUP(C99,'Formato descripción HU'!B10:O106,14,0)</f>
        <v>Gestionar Viajes</v>
      </c>
      <c r="F108" s="63"/>
      <c r="G108" s="63"/>
      <c r="H108" s="63"/>
      <c r="I108" s="63"/>
      <c r="J108" s="63"/>
      <c r="K108" s="63"/>
      <c r="L108" s="63"/>
      <c r="M108" s="63"/>
      <c r="N108" s="63"/>
      <c r="O108" s="64"/>
      <c r="P108" s="29"/>
    </row>
    <row r="109" spans="1:16" ht="15.75" customHeight="1" x14ac:dyDescent="0.25">
      <c r="B109" s="25"/>
      <c r="C109" s="54"/>
      <c r="D109" s="55"/>
      <c r="E109" s="65"/>
      <c r="F109" s="66"/>
      <c r="G109" s="66"/>
      <c r="H109" s="66"/>
      <c r="I109" s="66"/>
      <c r="J109" s="66"/>
      <c r="K109" s="66"/>
      <c r="L109" s="66"/>
      <c r="M109" s="66"/>
      <c r="N109" s="66"/>
      <c r="O109" s="67"/>
      <c r="P109" s="29"/>
    </row>
    <row r="110" spans="1:16" ht="15.75" customHeight="1" x14ac:dyDescent="0.25">
      <c r="B110" s="25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9"/>
    </row>
    <row r="111" spans="1:16" ht="15.75" customHeight="1" x14ac:dyDescent="0.25">
      <c r="B111" s="25"/>
      <c r="C111" s="69" t="s">
        <v>28</v>
      </c>
      <c r="D111" s="51"/>
      <c r="E111" s="80" t="str">
        <f>VLOOKUP(C99,'Formato descripción HU'!B10:O106,12,0)</f>
        <v>La secretaria puede registrar un viaje completo, consultarlo con filtros, cancelarlo y reprogramarlo. El sistema valida los datos antes de guardar y muestra mensajes de confirmación.</v>
      </c>
      <c r="F111" s="81"/>
      <c r="G111" s="81"/>
      <c r="H111" s="82"/>
      <c r="I111" s="28"/>
      <c r="J111" s="69" t="s">
        <v>10</v>
      </c>
      <c r="K111" s="51"/>
      <c r="L111" s="50">
        <f>VLOOKUP(C99,'Formato descripción HU'!B10:O106,13,0)</f>
        <v>0</v>
      </c>
      <c r="M111" s="59"/>
      <c r="N111" s="59"/>
      <c r="O111" s="51"/>
      <c r="P111" s="29"/>
    </row>
    <row r="112" spans="1:16" ht="15.75" customHeight="1" x14ac:dyDescent="0.25">
      <c r="B112" s="25"/>
      <c r="C112" s="52"/>
      <c r="D112" s="53"/>
      <c r="E112" s="83"/>
      <c r="F112" s="84"/>
      <c r="G112" s="84"/>
      <c r="H112" s="85"/>
      <c r="I112" s="28"/>
      <c r="J112" s="52"/>
      <c r="K112" s="53"/>
      <c r="L112" s="52"/>
      <c r="M112" s="45"/>
      <c r="N112" s="45"/>
      <c r="O112" s="53"/>
      <c r="P112" s="29"/>
    </row>
    <row r="113" spans="2:16" ht="15.75" customHeight="1" x14ac:dyDescent="0.25">
      <c r="B113" s="25"/>
      <c r="C113" s="54"/>
      <c r="D113" s="55"/>
      <c r="E113" s="86"/>
      <c r="F113" s="87"/>
      <c r="G113" s="87"/>
      <c r="H113" s="88"/>
      <c r="I113" s="28"/>
      <c r="J113" s="54"/>
      <c r="K113" s="55"/>
      <c r="L113" s="54"/>
      <c r="M113" s="60"/>
      <c r="N113" s="60"/>
      <c r="O113" s="55"/>
      <c r="P113" s="29"/>
    </row>
    <row r="114" spans="2:16" ht="15.75" customHeight="1" x14ac:dyDescent="0.25">
      <c r="B114" s="36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8"/>
    </row>
    <row r="115" spans="2:16" ht="15.75" customHeight="1" x14ac:dyDescent="0.25"/>
    <row r="116" spans="2:16" ht="15.75" customHeight="1" x14ac:dyDescent="0.25"/>
    <row r="117" spans="2:16" ht="15.75" customHeight="1" x14ac:dyDescent="0.25">
      <c r="B117" s="47" t="s">
        <v>20</v>
      </c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3"/>
    </row>
    <row r="118" spans="2:16" ht="15.75" customHeight="1" x14ac:dyDescent="0.25">
      <c r="B118" s="18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8"/>
    </row>
    <row r="119" spans="2:16" ht="15.75" customHeight="1" x14ac:dyDescent="0.3">
      <c r="B119" s="20"/>
      <c r="C119" s="21"/>
      <c r="D119" s="21"/>
      <c r="E119" s="21"/>
      <c r="F119" s="22"/>
      <c r="G119" s="23"/>
      <c r="H119" s="23"/>
      <c r="I119" s="23"/>
      <c r="J119" s="23"/>
      <c r="K119" s="23"/>
      <c r="L119" s="23"/>
      <c r="M119" s="23"/>
      <c r="N119" s="23"/>
      <c r="O119" s="23"/>
      <c r="P119" s="24"/>
    </row>
    <row r="120" spans="2:16" ht="15.75" customHeight="1" x14ac:dyDescent="0.25">
      <c r="B120" s="25"/>
      <c r="C120" s="26" t="s">
        <v>1</v>
      </c>
      <c r="D120" s="27"/>
      <c r="E120" s="48" t="s">
        <v>21</v>
      </c>
      <c r="F120" s="43"/>
      <c r="G120" s="27"/>
      <c r="H120" s="48" t="s">
        <v>8</v>
      </c>
      <c r="I120" s="43"/>
      <c r="J120" s="28"/>
      <c r="K120" s="28"/>
      <c r="L120" s="28"/>
      <c r="M120" s="28"/>
      <c r="N120" s="28"/>
      <c r="O120" s="28"/>
      <c r="P120" s="29"/>
    </row>
    <row r="121" spans="2:16" ht="15.75" customHeight="1" x14ac:dyDescent="0.25">
      <c r="B121" s="25"/>
      <c r="C121" s="30" t="s">
        <v>61</v>
      </c>
      <c r="D121" s="31"/>
      <c r="E121" s="49" t="str">
        <f>VLOOKUP(C121,'Formato descripción HU'!B11:O128,5,0)</f>
        <v>Coordinador</v>
      </c>
      <c r="F121" s="43"/>
      <c r="G121" s="32"/>
      <c r="H121" s="49" t="str">
        <f>VLOOKUP(C121,'Formato descripción HU'!B11:O128,11,0)</f>
        <v>Finalizado</v>
      </c>
      <c r="I121" s="43"/>
      <c r="J121" s="32"/>
      <c r="K121" s="28"/>
      <c r="L121" s="28"/>
      <c r="M121" s="28"/>
      <c r="N121" s="28"/>
      <c r="O121" s="28"/>
      <c r="P121" s="29"/>
    </row>
    <row r="122" spans="2:16" ht="15.75" customHeight="1" x14ac:dyDescent="0.25">
      <c r="B122" s="25"/>
      <c r="C122" s="33"/>
      <c r="D122" s="31"/>
      <c r="E122" s="34"/>
      <c r="F122" s="34"/>
      <c r="G122" s="32"/>
      <c r="H122" s="34"/>
      <c r="I122" s="34"/>
      <c r="J122" s="32"/>
      <c r="K122" s="34"/>
      <c r="L122" s="34"/>
      <c r="M122" s="28"/>
      <c r="N122" s="34"/>
      <c r="O122" s="34"/>
      <c r="P122" s="29"/>
    </row>
    <row r="123" spans="2:16" ht="15.75" customHeight="1" x14ac:dyDescent="0.25">
      <c r="B123" s="25"/>
      <c r="C123" s="26" t="s">
        <v>22</v>
      </c>
      <c r="D123" s="31"/>
      <c r="E123" s="48" t="s">
        <v>7</v>
      </c>
      <c r="F123" s="43"/>
      <c r="G123" s="32"/>
      <c r="H123" s="48" t="s">
        <v>23</v>
      </c>
      <c r="I123" s="43"/>
      <c r="J123" s="32"/>
      <c r="K123" s="34"/>
      <c r="L123" s="34"/>
      <c r="M123" s="28"/>
      <c r="N123" s="34"/>
      <c r="O123" s="34"/>
      <c r="P123" s="29"/>
    </row>
    <row r="124" spans="2:16" ht="15.75" customHeight="1" x14ac:dyDescent="0.25">
      <c r="B124" s="25"/>
      <c r="C124" s="30">
        <f>VLOOKUP('Historia de Usuario'!C121,'Formato descripción HU'!B11:O128,8,0)</f>
        <v>11</v>
      </c>
      <c r="D124" s="31"/>
      <c r="E124" s="49" t="str">
        <f>VLOOKUP(C121,'Formato descripción HU'!B11:O128,10,0)</f>
        <v>Alta</v>
      </c>
      <c r="F124" s="43"/>
      <c r="G124" s="32"/>
      <c r="H124" s="49" t="str">
        <f>VLOOKUP(C121,'Formato descripción HU'!B11:O128,7,0)</f>
        <v>Juan Quimbiulco</v>
      </c>
      <c r="I124" s="43"/>
      <c r="J124" s="32"/>
      <c r="K124" s="34"/>
      <c r="L124" s="34"/>
      <c r="M124" s="28"/>
      <c r="N124" s="34"/>
      <c r="O124" s="34"/>
      <c r="P124" s="29"/>
    </row>
    <row r="125" spans="2:16" ht="15.75" customHeight="1" x14ac:dyDescent="0.25">
      <c r="B125" s="25"/>
      <c r="C125" s="28"/>
      <c r="D125" s="31"/>
      <c r="E125" s="28"/>
      <c r="F125" s="28"/>
      <c r="G125" s="32"/>
      <c r="H125" s="32"/>
      <c r="I125" s="28"/>
      <c r="J125" s="28"/>
      <c r="K125" s="28"/>
      <c r="L125" s="28"/>
      <c r="M125" s="28"/>
      <c r="N125" s="28"/>
      <c r="O125" s="28"/>
      <c r="P125" s="29"/>
    </row>
    <row r="126" spans="2:16" ht="15.75" customHeight="1" x14ac:dyDescent="0.25">
      <c r="B126" s="25"/>
      <c r="C126" s="56" t="s">
        <v>24</v>
      </c>
      <c r="D126" s="50" t="str">
        <f>VLOOKUP(C121,'Formato descripción HU'!B11:O128,3,0)</f>
        <v>El sistema deberá ofrecer una pantalla de monitoreo donde se visualice la ubicación, estado y eventos de cada viaje activo.</v>
      </c>
      <c r="E126" s="51"/>
      <c r="F126" s="35"/>
      <c r="G126" s="56" t="s">
        <v>25</v>
      </c>
      <c r="H126" s="50" t="str">
        <f>VLOOKUP(C121,'Formato descripción HU'!B11:O128,4,0)</f>
        <v>Para que el coordinador conozca el progreso de cada viaje y pueda actuar ante incidencias de forma oportuna.</v>
      </c>
      <c r="I126" s="59"/>
      <c r="J126" s="51"/>
      <c r="K126" s="35"/>
      <c r="L126" s="56" t="s">
        <v>26</v>
      </c>
      <c r="M126" s="61" t="str">
        <f>VLOOKUP(C121,'Formato descripción HU'!B11:O128,6,0)</f>
        <v>REQ006-1: Diseño de pantalla de monitoreo. (Juan Quimbiulco) – 1 hr
REQ006-2: Visualización de viajes activos. (Steven Egas) – 2 hrs
REQ006-3: Consulta de estados de viaje. (Alejandro Obando) – 2 hrs
REQ006-4: Registro de incidencias. (Juan Quimbiulco) – 2 hrs
REQ006-5: Notificaciones de eventos importantes. (Steven Egas) – 2 hrs
REQ006-6: Historial de seguimiento de viajes. (Alejandro Obando) – 2 hrs</v>
      </c>
      <c r="N126" s="59"/>
      <c r="O126" s="51"/>
      <c r="P126" s="29"/>
    </row>
    <row r="127" spans="2:16" ht="15.75" customHeight="1" x14ac:dyDescent="0.25">
      <c r="B127" s="25"/>
      <c r="C127" s="57"/>
      <c r="D127" s="52"/>
      <c r="E127" s="53"/>
      <c r="F127" s="35"/>
      <c r="G127" s="57"/>
      <c r="H127" s="52"/>
      <c r="I127" s="45"/>
      <c r="J127" s="53"/>
      <c r="K127" s="35"/>
      <c r="L127" s="57"/>
      <c r="M127" s="52"/>
      <c r="N127" s="45"/>
      <c r="O127" s="53"/>
      <c r="P127" s="29"/>
    </row>
    <row r="128" spans="2:16" ht="15.75" customHeight="1" x14ac:dyDescent="0.25">
      <c r="B128" s="25"/>
      <c r="C128" s="58"/>
      <c r="D128" s="54"/>
      <c r="E128" s="55"/>
      <c r="F128" s="35"/>
      <c r="G128" s="58"/>
      <c r="H128" s="54"/>
      <c r="I128" s="60"/>
      <c r="J128" s="55"/>
      <c r="K128" s="35"/>
      <c r="L128" s="58"/>
      <c r="M128" s="54"/>
      <c r="N128" s="60"/>
      <c r="O128" s="55"/>
      <c r="P128" s="29"/>
    </row>
    <row r="129" spans="2:16" ht="15.75" customHeight="1" x14ac:dyDescent="0.25">
      <c r="B129" s="25"/>
      <c r="C129" s="28"/>
      <c r="D129" s="28"/>
      <c r="E129" s="28"/>
      <c r="F129" s="28"/>
      <c r="G129" s="32"/>
      <c r="H129" s="32"/>
      <c r="I129" s="32"/>
      <c r="J129" s="28"/>
      <c r="K129" s="28"/>
      <c r="L129" s="28"/>
      <c r="M129" s="28"/>
      <c r="N129" s="28"/>
      <c r="O129" s="28"/>
      <c r="P129" s="29"/>
    </row>
    <row r="130" spans="2:16" ht="15.75" customHeight="1" x14ac:dyDescent="0.25">
      <c r="B130" s="25"/>
      <c r="C130" s="68" t="s">
        <v>27</v>
      </c>
      <c r="D130" s="51"/>
      <c r="E130" s="62" t="str">
        <f>VLOOKUP(C121,'Formato descripción HU'!B11:O128,14,0)</f>
        <v>Monitorear Viajes</v>
      </c>
      <c r="F130" s="63"/>
      <c r="G130" s="63"/>
      <c r="H130" s="63"/>
      <c r="I130" s="63"/>
      <c r="J130" s="63"/>
      <c r="K130" s="63"/>
      <c r="L130" s="63"/>
      <c r="M130" s="63"/>
      <c r="N130" s="63"/>
      <c r="O130" s="64"/>
      <c r="P130" s="29"/>
    </row>
    <row r="131" spans="2:16" ht="15.75" customHeight="1" x14ac:dyDescent="0.25">
      <c r="B131" s="25"/>
      <c r="C131" s="54"/>
      <c r="D131" s="55"/>
      <c r="E131" s="65"/>
      <c r="F131" s="66"/>
      <c r="G131" s="66"/>
      <c r="H131" s="66"/>
      <c r="I131" s="66"/>
      <c r="J131" s="66"/>
      <c r="K131" s="66"/>
      <c r="L131" s="66"/>
      <c r="M131" s="66"/>
      <c r="N131" s="66"/>
      <c r="O131" s="67"/>
      <c r="P131" s="29"/>
    </row>
    <row r="132" spans="2:16" ht="15.75" customHeight="1" x14ac:dyDescent="0.25">
      <c r="B132" s="25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9"/>
    </row>
    <row r="133" spans="2:16" ht="15.75" customHeight="1" x14ac:dyDescent="0.25">
      <c r="B133" s="25"/>
      <c r="C133" s="69" t="s">
        <v>28</v>
      </c>
      <c r="D133" s="51"/>
      <c r="E133" s="80" t="str">
        <f>VLOOKUP(C121,'Formato descripción HU'!B11:O128,12,0)</f>
        <v>El coordinador visualiza los viajes activos con su estado e historial. Las incidencias se registran y generan notificaciones. La información se actualiza correctamente.</v>
      </c>
      <c r="F133" s="81"/>
      <c r="G133" s="81"/>
      <c r="H133" s="82"/>
      <c r="I133" s="28"/>
      <c r="J133" s="69" t="s">
        <v>10</v>
      </c>
      <c r="K133" s="51"/>
      <c r="L133" s="50">
        <f>VLOOKUP(C121,'Formato descripción HU'!B11:O128,13,0)</f>
        <v>0</v>
      </c>
      <c r="M133" s="59"/>
      <c r="N133" s="59"/>
      <c r="O133" s="51"/>
      <c r="P133" s="29"/>
    </row>
    <row r="134" spans="2:16" ht="15.75" customHeight="1" x14ac:dyDescent="0.25">
      <c r="B134" s="25"/>
      <c r="C134" s="52"/>
      <c r="D134" s="53"/>
      <c r="E134" s="83"/>
      <c r="F134" s="84"/>
      <c r="G134" s="84"/>
      <c r="H134" s="85"/>
      <c r="I134" s="28"/>
      <c r="J134" s="52"/>
      <c r="K134" s="53"/>
      <c r="L134" s="52"/>
      <c r="M134" s="45"/>
      <c r="N134" s="45"/>
      <c r="O134" s="53"/>
      <c r="P134" s="29"/>
    </row>
    <row r="135" spans="2:16" ht="15.75" customHeight="1" x14ac:dyDescent="0.25">
      <c r="B135" s="25"/>
      <c r="C135" s="54"/>
      <c r="D135" s="55"/>
      <c r="E135" s="86"/>
      <c r="F135" s="87"/>
      <c r="G135" s="87"/>
      <c r="H135" s="88"/>
      <c r="I135" s="28"/>
      <c r="J135" s="54"/>
      <c r="K135" s="55"/>
      <c r="L135" s="54"/>
      <c r="M135" s="60"/>
      <c r="N135" s="60"/>
      <c r="O135" s="55"/>
      <c r="P135" s="29"/>
    </row>
    <row r="136" spans="2:16" ht="15.75" customHeight="1" x14ac:dyDescent="0.25">
      <c r="B136" s="36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8"/>
    </row>
    <row r="137" spans="2:16" ht="15.75" customHeight="1" x14ac:dyDescent="0.25"/>
    <row r="138" spans="2:16" ht="15.75" customHeight="1" x14ac:dyDescent="0.25">
      <c r="B138" s="47" t="s">
        <v>20</v>
      </c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3"/>
    </row>
    <row r="139" spans="2:16" ht="15.75" customHeight="1" x14ac:dyDescent="0.25">
      <c r="B139" s="18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8"/>
    </row>
    <row r="140" spans="2:16" ht="15.75" customHeight="1" x14ac:dyDescent="0.3">
      <c r="B140" s="20"/>
      <c r="C140" s="21"/>
      <c r="D140" s="21"/>
      <c r="E140" s="21"/>
      <c r="F140" s="22"/>
      <c r="G140" s="23"/>
      <c r="H140" s="23"/>
      <c r="I140" s="23"/>
      <c r="J140" s="23"/>
      <c r="K140" s="23"/>
      <c r="L140" s="23"/>
      <c r="M140" s="23"/>
      <c r="N140" s="23"/>
      <c r="O140" s="23"/>
      <c r="P140" s="24"/>
    </row>
    <row r="141" spans="2:16" ht="15.75" customHeight="1" x14ac:dyDescent="0.25">
      <c r="B141" s="25"/>
      <c r="C141" s="26" t="s">
        <v>1</v>
      </c>
      <c r="D141" s="27"/>
      <c r="E141" s="48" t="s">
        <v>21</v>
      </c>
      <c r="F141" s="43"/>
      <c r="G141" s="27"/>
      <c r="H141" s="48" t="s">
        <v>8</v>
      </c>
      <c r="I141" s="43"/>
      <c r="J141" s="28"/>
      <c r="K141" s="28"/>
      <c r="L141" s="28"/>
      <c r="M141" s="28"/>
      <c r="N141" s="28"/>
      <c r="O141" s="28"/>
      <c r="P141" s="29"/>
    </row>
    <row r="142" spans="2:16" ht="15.75" customHeight="1" x14ac:dyDescent="0.25">
      <c r="B142" s="25"/>
      <c r="C142" s="30" t="s">
        <v>66</v>
      </c>
      <c r="D142" s="31"/>
      <c r="E142" s="49" t="str">
        <f>VLOOKUP(C142,'Formato descripción HU'!B12:O149,5,0)</f>
        <v>Gerente / Coordinador</v>
      </c>
      <c r="F142" s="43"/>
      <c r="G142" s="32"/>
      <c r="H142" s="49" t="str">
        <f>VLOOKUP(C142,'Formato descripción HU'!B12:O149,11,0)</f>
        <v>Finalizado</v>
      </c>
      <c r="I142" s="43"/>
      <c r="J142" s="32"/>
      <c r="K142" s="28"/>
      <c r="L142" s="28"/>
      <c r="M142" s="28"/>
      <c r="N142" s="28"/>
      <c r="O142" s="28"/>
      <c r="P142" s="29"/>
    </row>
    <row r="143" spans="2:16" ht="15.75" customHeight="1" x14ac:dyDescent="0.25">
      <c r="B143" s="25"/>
      <c r="C143" s="33"/>
      <c r="D143" s="31"/>
      <c r="E143" s="34"/>
      <c r="F143" s="34"/>
      <c r="G143" s="32"/>
      <c r="H143" s="34"/>
      <c r="I143" s="34"/>
      <c r="J143" s="32"/>
      <c r="K143" s="34"/>
      <c r="L143" s="34"/>
      <c r="M143" s="28"/>
      <c r="N143" s="34"/>
      <c r="O143" s="34"/>
      <c r="P143" s="29"/>
    </row>
    <row r="144" spans="2:16" ht="15.75" customHeight="1" x14ac:dyDescent="0.25">
      <c r="B144" s="25"/>
      <c r="C144" s="26" t="s">
        <v>22</v>
      </c>
      <c r="D144" s="31"/>
      <c r="E144" s="48" t="s">
        <v>7</v>
      </c>
      <c r="F144" s="43"/>
      <c r="G144" s="32"/>
      <c r="H144" s="48" t="s">
        <v>23</v>
      </c>
      <c r="I144" s="43"/>
      <c r="J144" s="32"/>
      <c r="K144" s="34"/>
      <c r="L144" s="34"/>
      <c r="M144" s="28"/>
      <c r="N144" s="34"/>
      <c r="O144" s="34"/>
      <c r="P144" s="29"/>
    </row>
    <row r="145" spans="2:16" ht="15.75" customHeight="1" x14ac:dyDescent="0.25">
      <c r="B145" s="25"/>
      <c r="C145" s="30">
        <f>VLOOKUP('Historia de Usuario'!C142,'Formato descripción HU'!B12:O149,8,0)</f>
        <v>13</v>
      </c>
      <c r="D145" s="31"/>
      <c r="E145" s="49" t="str">
        <f>VLOOKUP(C142,'Formato descripción HU'!B12:O149,10,0)</f>
        <v>Media</v>
      </c>
      <c r="F145" s="43"/>
      <c r="G145" s="32"/>
      <c r="H145" s="49" t="str">
        <f>VLOOKUP(C142,'Formato descripción HU'!B12:O149,7,0)</f>
        <v>Steven Egas</v>
      </c>
      <c r="I145" s="43"/>
      <c r="J145" s="32"/>
      <c r="K145" s="34"/>
      <c r="L145" s="34"/>
      <c r="M145" s="28"/>
      <c r="N145" s="34"/>
      <c r="O145" s="34"/>
      <c r="P145" s="29"/>
    </row>
    <row r="146" spans="2:16" ht="15.75" customHeight="1" x14ac:dyDescent="0.25">
      <c r="B146" s="25"/>
      <c r="C146" s="28"/>
      <c r="D146" s="31"/>
      <c r="E146" s="28"/>
      <c r="F146" s="28"/>
      <c r="G146" s="32"/>
      <c r="H146" s="32"/>
      <c r="I146" s="28"/>
      <c r="J146" s="28"/>
      <c r="K146" s="28"/>
      <c r="L146" s="28"/>
      <c r="M146" s="28"/>
      <c r="N146" s="28"/>
      <c r="O146" s="28"/>
      <c r="P146" s="29"/>
    </row>
    <row r="147" spans="2:16" ht="15.75" customHeight="1" x14ac:dyDescent="0.25">
      <c r="B147" s="25"/>
      <c r="C147" s="56" t="s">
        <v>24</v>
      </c>
      <c r="D147" s="50" t="str">
        <f>VLOOKUP(C142,'Formato descripción HU'!B12:O149,3,0)</f>
        <v>El sistema deberá permitir generar, consultar y exportar reportes por fechas y tipo, así como crear, asignar y modificar rutas para los viajes.</v>
      </c>
      <c r="E147" s="51"/>
      <c r="F147" s="35"/>
      <c r="G147" s="56" t="s">
        <v>25</v>
      </c>
      <c r="H147" s="50" t="str">
        <f>VLOOKUP(C142,'Formato descripción HU'!B12:O149,4,0)</f>
        <v>Para optimizar la toma de decisiones gerenciales y la operación logística del sistema de transporte.</v>
      </c>
      <c r="I147" s="59"/>
      <c r="J147" s="51"/>
      <c r="K147" s="35"/>
      <c r="L147" s="56" t="s">
        <v>26</v>
      </c>
      <c r="M147" s="61" t="str">
        <f>VLOOKUP(C142,'Formato descripción HU'!B12:O149,6,0)</f>
        <v>REQ007-1: Diseño de interfaz para generación de reportes. (Steven Egas) – 1 hr
REQ007-2: Generación de reportes por fechas y estado. (Alejandro Obando) – 2 hrs
REQ007-3: Exportación de reportes a PDF. (Juan Quimbiulco) – 2 hrs
REQ007-4: Exportación de reportes a Excel. (Steven Egas) – 2 hrs
REQ007-5: Creación de rutas para viajes. (Alejandro Obando) – 2 hrs
REQ007-6: Asignación de rutas a viajes registrados. (Juan Quimbiulco) – 2 hrs
REQ007-7: Modificación y replanificación de rutas. (Steven Egas) – 2 hrs</v>
      </c>
      <c r="N147" s="59"/>
      <c r="O147" s="51"/>
      <c r="P147" s="29"/>
    </row>
    <row r="148" spans="2:16" ht="15.75" customHeight="1" x14ac:dyDescent="0.25">
      <c r="B148" s="25"/>
      <c r="C148" s="57"/>
      <c r="D148" s="52"/>
      <c r="E148" s="53"/>
      <c r="F148" s="35"/>
      <c r="G148" s="57"/>
      <c r="H148" s="52"/>
      <c r="I148" s="45"/>
      <c r="J148" s="53"/>
      <c r="K148" s="35"/>
      <c r="L148" s="57"/>
      <c r="M148" s="52"/>
      <c r="N148" s="45"/>
      <c r="O148" s="53"/>
      <c r="P148" s="29"/>
    </row>
    <row r="149" spans="2:16" ht="15.75" customHeight="1" x14ac:dyDescent="0.25">
      <c r="B149" s="25"/>
      <c r="C149" s="58"/>
      <c r="D149" s="54"/>
      <c r="E149" s="55"/>
      <c r="F149" s="35"/>
      <c r="G149" s="58"/>
      <c r="H149" s="54"/>
      <c r="I149" s="60"/>
      <c r="J149" s="55"/>
      <c r="K149" s="35"/>
      <c r="L149" s="58"/>
      <c r="M149" s="54"/>
      <c r="N149" s="60"/>
      <c r="O149" s="55"/>
      <c r="P149" s="29"/>
    </row>
    <row r="150" spans="2:16" ht="15.75" customHeight="1" x14ac:dyDescent="0.25">
      <c r="B150" s="25"/>
      <c r="C150" s="28"/>
      <c r="D150" s="28"/>
      <c r="E150" s="28"/>
      <c r="F150" s="28"/>
      <c r="G150" s="32"/>
      <c r="H150" s="32"/>
      <c r="I150" s="32"/>
      <c r="J150" s="28"/>
      <c r="K150" s="28"/>
      <c r="L150" s="28"/>
      <c r="M150" s="28"/>
      <c r="N150" s="28"/>
      <c r="O150" s="28"/>
      <c r="P150" s="29"/>
    </row>
    <row r="151" spans="2:16" ht="15.75" customHeight="1" x14ac:dyDescent="0.25">
      <c r="B151" s="25"/>
      <c r="C151" s="68" t="s">
        <v>27</v>
      </c>
      <c r="D151" s="51"/>
      <c r="E151" s="62" t="str">
        <f>VLOOKUP(C142,'Formato descripción HU'!B12:O149,14,0)</f>
        <v>Reportes y Planificación de Rutas</v>
      </c>
      <c r="F151" s="63"/>
      <c r="G151" s="63"/>
      <c r="H151" s="63"/>
      <c r="I151" s="63"/>
      <c r="J151" s="63"/>
      <c r="K151" s="63"/>
      <c r="L151" s="63"/>
      <c r="M151" s="63"/>
      <c r="N151" s="63"/>
      <c r="O151" s="64"/>
      <c r="P151" s="29"/>
    </row>
    <row r="152" spans="2:16" ht="15.75" customHeight="1" x14ac:dyDescent="0.25">
      <c r="B152" s="25"/>
      <c r="C152" s="54"/>
      <c r="D152" s="55"/>
      <c r="E152" s="65"/>
      <c r="F152" s="66"/>
      <c r="G152" s="66"/>
      <c r="H152" s="66"/>
      <c r="I152" s="66"/>
      <c r="J152" s="66"/>
      <c r="K152" s="66"/>
      <c r="L152" s="66"/>
      <c r="M152" s="66"/>
      <c r="N152" s="66"/>
      <c r="O152" s="67"/>
      <c r="P152" s="29"/>
    </row>
    <row r="153" spans="2:16" ht="15.75" customHeight="1" x14ac:dyDescent="0.25">
      <c r="B153" s="25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9"/>
    </row>
    <row r="154" spans="2:16" ht="15.75" customHeight="1" x14ac:dyDescent="0.25">
      <c r="B154" s="25"/>
      <c r="C154" s="69" t="s">
        <v>28</v>
      </c>
      <c r="D154" s="51"/>
      <c r="E154" s="80" t="str">
        <f>VLOOKUP(C142,'Formato descripción HU'!B12:O149,12,0)</f>
        <v>El gerente/coordinador genera reportes con los filtros indicados y los exporta en PDF y Excel correctamente. Las rutas se crean, asignan y modifican sin errores.</v>
      </c>
      <c r="F154" s="81"/>
      <c r="G154" s="81"/>
      <c r="H154" s="82"/>
      <c r="I154" s="28"/>
      <c r="J154" s="69" t="s">
        <v>10</v>
      </c>
      <c r="K154" s="51"/>
      <c r="L154" s="50">
        <f>VLOOKUP(C142,'Formato descripción HU'!B12:O149,13,0)</f>
        <v>0</v>
      </c>
      <c r="M154" s="59"/>
      <c r="N154" s="59"/>
      <c r="O154" s="51"/>
      <c r="P154" s="29"/>
    </row>
    <row r="155" spans="2:16" ht="15.75" customHeight="1" x14ac:dyDescent="0.25">
      <c r="B155" s="25"/>
      <c r="C155" s="52"/>
      <c r="D155" s="53"/>
      <c r="E155" s="83"/>
      <c r="F155" s="84"/>
      <c r="G155" s="84"/>
      <c r="H155" s="85"/>
      <c r="I155" s="28"/>
      <c r="J155" s="52"/>
      <c r="K155" s="53"/>
      <c r="L155" s="52"/>
      <c r="M155" s="45"/>
      <c r="N155" s="45"/>
      <c r="O155" s="53"/>
      <c r="P155" s="29"/>
    </row>
    <row r="156" spans="2:16" ht="15.75" customHeight="1" x14ac:dyDescent="0.25">
      <c r="B156" s="25"/>
      <c r="C156" s="54"/>
      <c r="D156" s="55"/>
      <c r="E156" s="86"/>
      <c r="F156" s="87"/>
      <c r="G156" s="87"/>
      <c r="H156" s="88"/>
      <c r="I156" s="28"/>
      <c r="J156" s="54"/>
      <c r="K156" s="55"/>
      <c r="L156" s="54"/>
      <c r="M156" s="60"/>
      <c r="N156" s="60"/>
      <c r="O156" s="55"/>
      <c r="P156" s="29"/>
    </row>
    <row r="157" spans="2:16" ht="15.75" customHeight="1" x14ac:dyDescent="0.25">
      <c r="B157" s="36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8"/>
    </row>
    <row r="158" spans="2:16" ht="15.75" customHeight="1" x14ac:dyDescent="0.25"/>
    <row r="159" spans="2:16" ht="15.75" customHeight="1" x14ac:dyDescent="0.25"/>
    <row r="160" spans="2:16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</sheetData>
  <mergeCells count="154">
    <mergeCell ref="L147:L149"/>
    <mergeCell ref="M147:O149"/>
    <mergeCell ref="C151:D152"/>
    <mergeCell ref="E151:O152"/>
    <mergeCell ref="C154:D156"/>
    <mergeCell ref="E154:H156"/>
    <mergeCell ref="J154:K156"/>
    <mergeCell ref="L154:O156"/>
    <mergeCell ref="E144:F144"/>
    <mergeCell ref="H144:I144"/>
    <mergeCell ref="E145:F145"/>
    <mergeCell ref="H145:I145"/>
    <mergeCell ref="C147:C149"/>
    <mergeCell ref="D147:E149"/>
    <mergeCell ref="G147:G149"/>
    <mergeCell ref="H147:J149"/>
    <mergeCell ref="B138:P138"/>
    <mergeCell ref="E141:F141"/>
    <mergeCell ref="H141:I141"/>
    <mergeCell ref="E142:F142"/>
    <mergeCell ref="H142:I142"/>
    <mergeCell ref="L126:L128"/>
    <mergeCell ref="M126:O128"/>
    <mergeCell ref="C130:D131"/>
    <mergeCell ref="E130:O131"/>
    <mergeCell ref="C133:D135"/>
    <mergeCell ref="E133:H135"/>
    <mergeCell ref="J133:K135"/>
    <mergeCell ref="L133:O135"/>
    <mergeCell ref="E123:F123"/>
    <mergeCell ref="H123:I123"/>
    <mergeCell ref="E124:F124"/>
    <mergeCell ref="H124:I124"/>
    <mergeCell ref="C126:C128"/>
    <mergeCell ref="D126:E128"/>
    <mergeCell ref="G126:G128"/>
    <mergeCell ref="H126:J128"/>
    <mergeCell ref="B117:P117"/>
    <mergeCell ref="E120:F120"/>
    <mergeCell ref="H120:I120"/>
    <mergeCell ref="E121:F121"/>
    <mergeCell ref="H121:I121"/>
    <mergeCell ref="C108:D109"/>
    <mergeCell ref="E108:O109"/>
    <mergeCell ref="C111:D113"/>
    <mergeCell ref="E111:H113"/>
    <mergeCell ref="J111:K113"/>
    <mergeCell ref="L111:O113"/>
    <mergeCell ref="E99:F99"/>
    <mergeCell ref="H99:I99"/>
    <mergeCell ref="E101:F101"/>
    <mergeCell ref="H101:I101"/>
    <mergeCell ref="E102:F102"/>
    <mergeCell ref="H102:I102"/>
    <mergeCell ref="L82:L84"/>
    <mergeCell ref="M82:O84"/>
    <mergeCell ref="C86:D87"/>
    <mergeCell ref="E86:O87"/>
    <mergeCell ref="C89:D91"/>
    <mergeCell ref="E89:H91"/>
    <mergeCell ref="J89:K91"/>
    <mergeCell ref="L89:O91"/>
    <mergeCell ref="E80:F80"/>
    <mergeCell ref="H80:I80"/>
    <mergeCell ref="C82:C84"/>
    <mergeCell ref="D82:E84"/>
    <mergeCell ref="G82:G84"/>
    <mergeCell ref="H82:J84"/>
    <mergeCell ref="J68:K70"/>
    <mergeCell ref="L68:O70"/>
    <mergeCell ref="B73:P73"/>
    <mergeCell ref="E76:F76"/>
    <mergeCell ref="H76:I76"/>
    <mergeCell ref="B29:P29"/>
    <mergeCell ref="E33:F33"/>
    <mergeCell ref="H33:I33"/>
    <mergeCell ref="E35:F35"/>
    <mergeCell ref="H35:I35"/>
    <mergeCell ref="E50:F50"/>
    <mergeCell ref="H50:I50"/>
    <mergeCell ref="E42:O43"/>
    <mergeCell ref="E45:H47"/>
    <mergeCell ref="J45:K47"/>
    <mergeCell ref="L45:O47"/>
    <mergeCell ref="B52:P52"/>
    <mergeCell ref="E49:F49"/>
    <mergeCell ref="H49:I49"/>
    <mergeCell ref="C42:D43"/>
    <mergeCell ref="C45:D47"/>
    <mergeCell ref="E36:F36"/>
    <mergeCell ref="C38:C40"/>
    <mergeCell ref="D38:E40"/>
    <mergeCell ref="G38:G40"/>
    <mergeCell ref="E32:F32"/>
    <mergeCell ref="H32:I32"/>
    <mergeCell ref="H36:I36"/>
    <mergeCell ref="H38:J40"/>
    <mergeCell ref="L38:L40"/>
    <mergeCell ref="M38:O40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4:C106"/>
    <mergeCell ref="D104:E106"/>
    <mergeCell ref="G104:G106"/>
    <mergeCell ref="H104:J106"/>
    <mergeCell ref="L104:L106"/>
    <mergeCell ref="M104:O106"/>
    <mergeCell ref="B95:P95"/>
    <mergeCell ref="E98:F98"/>
    <mergeCell ref="H98:I98"/>
    <mergeCell ref="E77:F77"/>
    <mergeCell ref="H77:I77"/>
    <mergeCell ref="E79:F79"/>
    <mergeCell ref="H79:I79"/>
    <mergeCell ref="E72:F72"/>
    <mergeCell ref="H72:I72"/>
    <mergeCell ref="C61:C63"/>
    <mergeCell ref="D61:E63"/>
    <mergeCell ref="G61:G63"/>
    <mergeCell ref="H61:J63"/>
    <mergeCell ref="L61:L63"/>
    <mergeCell ref="M61:O63"/>
    <mergeCell ref="C65:D66"/>
    <mergeCell ref="E65:O66"/>
    <mergeCell ref="C68:D70"/>
    <mergeCell ref="E68:H70"/>
    <mergeCell ref="E55:F55"/>
    <mergeCell ref="H55:I55"/>
    <mergeCell ref="E56:F56"/>
    <mergeCell ref="H56:I56"/>
    <mergeCell ref="E58:F58"/>
    <mergeCell ref="H58:I58"/>
    <mergeCell ref="E59:F59"/>
    <mergeCell ref="H59:I59"/>
  </mergeCells>
  <conditionalFormatting sqref="H10:I11 H50">
    <cfRule type="cellIs" dxfId="27" priority="25" operator="equal">
      <formula>"Atrasado"</formula>
    </cfRule>
    <cfRule type="cellIs" dxfId="26" priority="26" operator="equal">
      <formula>"Terminado"</formula>
    </cfRule>
    <cfRule type="cellIs" dxfId="25" priority="27" operator="equal">
      <formula>"En proceso"</formula>
    </cfRule>
    <cfRule type="cellIs" dxfId="24" priority="28" operator="equal">
      <formula>"No Iniciado"</formula>
    </cfRule>
  </conditionalFormatting>
  <conditionalFormatting sqref="H33:I34">
    <cfRule type="cellIs" dxfId="23" priority="21" operator="equal">
      <formula>"Atrasado"</formula>
    </cfRule>
    <cfRule type="cellIs" dxfId="22" priority="22" operator="equal">
      <formula>"Terminado"</formula>
    </cfRule>
    <cfRule type="cellIs" dxfId="21" priority="23" operator="equal">
      <formula>"En proceso"</formula>
    </cfRule>
    <cfRule type="cellIs" dxfId="20" priority="24" operator="equal">
      <formula>"No Iniciado"</formula>
    </cfRule>
  </conditionalFormatting>
  <conditionalFormatting sqref="H56:I57">
    <cfRule type="cellIs" dxfId="19" priority="17" operator="equal">
      <formula>"Atrasado"</formula>
    </cfRule>
    <cfRule type="cellIs" dxfId="18" priority="18" operator="equal">
      <formula>"Terminado"</formula>
    </cfRule>
    <cfRule type="cellIs" dxfId="17" priority="19" operator="equal">
      <formula>"En proceso"</formula>
    </cfRule>
    <cfRule type="cellIs" dxfId="16" priority="20" operator="equal">
      <formula>"No Iniciado"</formula>
    </cfRule>
  </conditionalFormatting>
  <conditionalFormatting sqref="H77:I78">
    <cfRule type="cellIs" dxfId="15" priority="13" operator="equal">
      <formula>"Atrasado"</formula>
    </cfRule>
    <cfRule type="cellIs" dxfId="14" priority="14" operator="equal">
      <formula>"Terminado"</formula>
    </cfRule>
    <cfRule type="cellIs" dxfId="13" priority="15" operator="equal">
      <formula>"En proceso"</formula>
    </cfRule>
    <cfRule type="cellIs" dxfId="12" priority="16" operator="equal">
      <formula>"No Iniciado"</formula>
    </cfRule>
  </conditionalFormatting>
  <conditionalFormatting sqref="H99:I100">
    <cfRule type="cellIs" dxfId="11" priority="9" operator="equal">
      <formula>"Atrasado"</formula>
    </cfRule>
    <cfRule type="cellIs" dxfId="10" priority="10" operator="equal">
      <formula>"Terminado"</formula>
    </cfRule>
    <cfRule type="cellIs" dxfId="9" priority="11" operator="equal">
      <formula>"En proceso"</formula>
    </cfRule>
    <cfRule type="cellIs" dxfId="8" priority="12" operator="equal">
      <formula>"No Iniciado"</formula>
    </cfRule>
  </conditionalFormatting>
  <conditionalFormatting sqref="H121:I122">
    <cfRule type="cellIs" dxfId="7" priority="5" operator="equal">
      <formula>"Atrasado"</formula>
    </cfRule>
    <cfRule type="cellIs" dxfId="6" priority="6" operator="equal">
      <formula>"Terminado"</formula>
    </cfRule>
    <cfRule type="cellIs" dxfId="5" priority="7" operator="equal">
      <formula>"En proceso"</formula>
    </cfRule>
    <cfRule type="cellIs" dxfId="4" priority="8" operator="equal">
      <formula>"No Iniciado"</formula>
    </cfRule>
  </conditionalFormatting>
  <conditionalFormatting sqref="H142:I143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HU'!$B$6:$B$17</xm:f>
          </x14:formula1>
          <xm:sqref>C10:C11 C50:C51 C33:C34 C56:C57 C77:C78 C99:C100 C121:C122 C142:C143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JR-HP</dc:creator>
  <cp:lastModifiedBy>sdegas1@espe.edu.ec</cp:lastModifiedBy>
  <dcterms:created xsi:type="dcterms:W3CDTF">2019-10-21T15:37:14Z</dcterms:created>
  <dcterms:modified xsi:type="dcterms:W3CDTF">2026-06-09T08:13:54Z</dcterms:modified>
</cp:coreProperties>
</file>